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使用说明" sheetId="1" state="visible" r:id="rId1"/>
    <sheet name="参数与锚点" sheetId="2" state="visible" r:id="rId2"/>
    <sheet name="项目清单" sheetId="3" state="visible" r:id="rId3"/>
    <sheet name="会议评分" sheetId="4" state="visible" r:id="rId4"/>
    <sheet name="证据索引" sheetId="5" state="visible" r:id="rId5"/>
    <sheet name="决策面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2">
    <font>
      <name val="Carlito"/>
      <sz val="11"/>
    </font>
    <font>
      <name val="Aptos Display"/>
      <b val="1"/>
      <color rgb="FFFFFFFF"/>
      <sz val="20"/>
    </font>
    <font>
      <name val="Aptos"/>
      <color rgb="FF243B53"/>
      <sz val="10"/>
    </font>
    <font>
      <name val="Aptos"/>
      <b val="1"/>
      <color rgb="FFFFFFFF"/>
      <sz val="11"/>
    </font>
    <font>
      <name val="Aptos"/>
      <b val="1"/>
      <color rgb="FFFFFFFF"/>
      <sz val="9"/>
    </font>
    <font>
      <name val="Aptos"/>
      <color rgb="FF243B53"/>
      <sz val="9"/>
    </font>
    <font>
      <name val="Aptos"/>
      <b val="1"/>
      <color rgb="FF1D4ED8"/>
      <sz val="11"/>
    </font>
    <font>
      <name val="Aptos"/>
      <b val="1"/>
      <color rgb="FF92400E"/>
      <sz val="10"/>
    </font>
    <font>
      <name val="Aptos"/>
      <b val="1"/>
      <color rgb="FF102A43"/>
      <sz val="10"/>
    </font>
    <font>
      <name val="Aptos"/>
      <b val="1"/>
      <color rgb="FF1D4ED8"/>
      <sz val="9"/>
    </font>
    <font>
      <name val="Aptos Display"/>
      <b val="1"/>
      <color rgb="FF1D4ED8"/>
      <sz val="22"/>
    </font>
    <font>
      <name val="Aptos"/>
      <b val="1"/>
      <color rgb="FF627D98"/>
      <sz val="9"/>
    </font>
  </fonts>
  <fills count="9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2FF"/>
      </patternFill>
    </fill>
    <fill>
      <patternFill patternType="solid">
        <fgColor rgb="FF1D4ED8"/>
      </patternFill>
    </fill>
    <fill>
      <patternFill patternType="solid">
        <fgColor rgb="FFF5F7FA"/>
      </patternFill>
    </fill>
    <fill>
      <patternFill patternType="solid">
        <fgColor rgb="FFFFF7E6"/>
      </patternFill>
    </fill>
    <fill>
      <patternFill patternType="solid">
        <fgColor rgb="FFFFFBEA"/>
      </patternFill>
    </fill>
    <fill>
      <patternFill patternType="solid">
        <fgColor rgb="FFFFFFFF"/>
      </patternFill>
    </fill>
  </fills>
  <borders count="26">
    <border/>
    <border>
      <bottom style="thin">
        <color rgb="FFD9E2EC"/>
      </bottom>
    </border>
    <border>
      <right style="thin">
        <color rgb="FF486581"/>
      </right>
    </border>
    <border>
      <left style="thin">
        <color rgb="FF486581"/>
      </left>
      <right style="thin">
        <color rgb="FF486581"/>
      </right>
    </border>
    <border>
      <left style="thin">
        <color rgb="FF486581"/>
      </left>
    </border>
    <border>
      <top style="thin">
        <color rgb="FFD9E2EC"/>
      </top>
      <bottom style="thin">
        <color rgb="FFD9E2EC"/>
      </bottom>
    </border>
    <border>
      <top style="thin">
        <color rgb="FFD9E2EC"/>
      </top>
    </border>
    <border>
      <left style="thin">
        <color rgb="FFF59E0B"/>
      </left>
      <top style="thin">
        <color rgb="FFF59E0B"/>
      </top>
    </border>
    <border>
      <top style="thin">
        <color rgb="FFF59E0B"/>
      </top>
    </border>
    <border>
      <right style="thin">
        <color rgb="FFF59E0B"/>
      </right>
      <top style="thin">
        <color rgb="FFF59E0B"/>
      </top>
    </border>
    <border>
      <left style="thin">
        <color rgb="FFF59E0B"/>
      </left>
      <bottom style="thin">
        <color rgb="FFF59E0B"/>
      </bottom>
    </border>
    <border>
      <bottom style="thin">
        <color rgb="FFF59E0B"/>
      </bottom>
    </border>
    <border>
      <right style="thin">
        <color rgb="FFF59E0B"/>
      </right>
      <bottom style="thin">
        <color rgb="FFF59E0B"/>
      </bottom>
    </border>
    <border>
      <left style="thin">
        <color rgb="FF1D4ED8"/>
      </left>
      <top style="thin">
        <color rgb="FF1D4ED8"/>
      </top>
      <bottom style="thin">
        <color rgb="FF1D4ED8"/>
      </bottom>
    </border>
    <border>
      <top style="thin">
        <color rgb="FF1D4ED8"/>
      </top>
      <bottom style="thin">
        <color rgb="FF1D4ED8"/>
      </bottom>
    </border>
    <border>
      <right style="thin">
        <color rgb="FF1D4ED8"/>
      </right>
      <top style="thin">
        <color rgb="FF1D4ED8"/>
      </top>
      <bottom style="thin">
        <color rgb="FF1D4ED8"/>
      </bottom>
    </border>
    <border>
      <left style="thin">
        <color rgb="FFD9E2EC"/>
      </left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F59E0B"/>
      </left>
    </border>
    <border>
      <right style="thin">
        <color rgb="FFF59E0B"/>
      </right>
    </border>
    <border>
      <top style="thin">
        <color rgb="FF1D4ED8"/>
      </top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</border>
    <border>
      <right style="thin">
        <color rgb="FF1D4ED8"/>
      </right>
      <top style="thin">
        <color rgb="FF1D4ED8"/>
      </top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4" fillId="2" borderId="2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4" fillId="2" borderId="4" applyAlignment="1" pivotButton="0" quotePrefix="0" xfId="0">
      <alignment wrapText="1"/>
    </xf>
    <xf numFmtId="0" fontId="4" fillId="2" borderId="2" applyAlignment="1" pivotButton="0" quotePrefix="0" xfId="0">
      <alignment horizontal="center" wrapText="1"/>
    </xf>
    <xf numFmtId="0" fontId="4" fillId="2" borderId="3" applyAlignment="1" pivotButton="0" quotePrefix="0" xfId="0">
      <alignment horizontal="center" wrapText="1"/>
    </xf>
    <xf numFmtId="0" fontId="4" fillId="2" borderId="4" applyAlignment="1" pivotButton="0" quotePrefix="0" xfId="0">
      <alignment horizont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0" borderId="5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6" fillId="3" borderId="0" pivotButton="0" quotePrefix="0" xfId="0"/>
    <xf numFmtId="0" fontId="6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2" pivotButton="0" quotePrefix="0" xfId="0"/>
    <xf numFmtId="0" fontId="4" fillId="2" borderId="3" pivotButton="0" quotePrefix="0" xfId="0"/>
    <xf numFmtId="0" fontId="4" fillId="2" borderId="4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0" fillId="5" borderId="0" pivotButton="0" quotePrefix="0" xfId="0"/>
    <xf numFmtId="0" fontId="2" fillId="5" borderId="0" pivotButton="0" quotePrefix="0" xfId="0"/>
    <xf numFmtId="0" fontId="2" fillId="5" borderId="1" pivotButton="0" quotePrefix="0" xfId="0"/>
    <xf numFmtId="0" fontId="2" fillId="5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0" pivotButton="0" quotePrefix="0" xfId="0"/>
    <xf numFmtId="0" fontId="7" fillId="6" borderId="0" pivotButton="0" quotePrefix="0" xfId="0"/>
    <xf numFmtId="0" fontId="7" fillId="6" borderId="7" pivotButton="0" quotePrefix="0" xfId="0"/>
    <xf numFmtId="0" fontId="7" fillId="6" borderId="8" pivotButton="0" quotePrefix="0" xfId="0"/>
    <xf numFmtId="0" fontId="7" fillId="6" borderId="9" pivotButton="0" quotePrefix="0" xfId="0"/>
    <xf numFmtId="0" fontId="7" fillId="6" borderId="10" pivotButton="0" quotePrefix="0" xfId="0"/>
    <xf numFmtId="0" fontId="7" fillId="6" borderId="11" pivotButton="0" quotePrefix="0" xfId="0"/>
    <xf numFmtId="0" fontId="7" fillId="6" borderId="12" pivotButton="0" quotePrefix="0" xfId="0"/>
    <xf numFmtId="0" fontId="7" fillId="6" borderId="7" applyAlignment="1" pivotButton="0" quotePrefix="0" xfId="0">
      <alignment wrapText="1"/>
    </xf>
    <xf numFmtId="0" fontId="7" fillId="6" borderId="8" applyAlignment="1" pivotButton="0" quotePrefix="0" xfId="0">
      <alignment wrapText="1"/>
    </xf>
    <xf numFmtId="0" fontId="7" fillId="6" borderId="9" applyAlignment="1" pivotButton="0" quotePrefix="0" xfId="0">
      <alignment wrapText="1"/>
    </xf>
    <xf numFmtId="0" fontId="7" fillId="6" borderId="10" applyAlignment="1" pivotButton="0" quotePrefix="0" xfId="0">
      <alignment wrapText="1"/>
    </xf>
    <xf numFmtId="0" fontId="7" fillId="6" borderId="11" applyAlignment="1" pivotButton="0" quotePrefix="0" xfId="0">
      <alignment wrapText="1"/>
    </xf>
    <xf numFmtId="0" fontId="7" fillId="6" borderId="12" applyAlignment="1" pivotButton="0" quotePrefix="0" xfId="0">
      <alignment wrapText="1"/>
    </xf>
    <xf numFmtId="0" fontId="7" fillId="6" borderId="7" applyAlignment="1" pivotButton="0" quotePrefix="0" xfId="0">
      <alignment vertical="center" wrapText="1"/>
    </xf>
    <xf numFmtId="0" fontId="7" fillId="6" borderId="8" applyAlignment="1" pivotButton="0" quotePrefix="0" xfId="0">
      <alignment vertical="center" wrapText="1"/>
    </xf>
    <xf numFmtId="0" fontId="7" fillId="6" borderId="9" applyAlignment="1" pivotButton="0" quotePrefix="0" xfId="0">
      <alignment vertical="center" wrapText="1"/>
    </xf>
    <xf numFmtId="0" fontId="7" fillId="6" borderId="10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7" fillId="6" borderId="12" applyAlignment="1" pivotButton="0" quotePrefix="0" xfId="0">
      <alignment vertical="center" wrapText="1"/>
    </xf>
    <xf numFmtId="1" fontId="5" fillId="0" borderId="1" applyAlignment="1" pivotButton="0" quotePrefix="0" xfId="0">
      <alignment vertical="top" wrapText="1"/>
    </xf>
    <xf numFmtId="1" fontId="5" fillId="0" borderId="5" applyAlignment="1" pivotButton="0" quotePrefix="0" xfId="0">
      <alignment vertical="top" wrapText="1"/>
    </xf>
    <xf numFmtId="1" fontId="5" fillId="0" borderId="6" applyAlignment="1" pivotButton="0" quotePrefix="0" xfId="0">
      <alignment vertical="top" wrapText="1"/>
    </xf>
    <xf numFmtId="0" fontId="8" fillId="3" borderId="0" pivotButton="0" quotePrefix="0" xfId="0"/>
    <xf numFmtId="0" fontId="8" fillId="3" borderId="13" pivotButton="0" quotePrefix="0" xfId="0"/>
    <xf numFmtId="0" fontId="8" fillId="3" borderId="14" pivotButton="0" quotePrefix="0" xfId="0"/>
    <xf numFmtId="0" fontId="8" fillId="3" borderId="15" pivotButton="0" quotePrefix="0" xfId="0"/>
    <xf numFmtId="9" fontId="5" fillId="0" borderId="1" applyAlignment="1" pivotButton="0" quotePrefix="0" xfId="0">
      <alignment vertical="top" wrapText="1"/>
    </xf>
    <xf numFmtId="9" fontId="5" fillId="0" borderId="5" applyAlignment="1" pivotButton="0" quotePrefix="0" xfId="0">
      <alignment vertical="top" wrapText="1"/>
    </xf>
    <xf numFmtId="9" fontId="5" fillId="0" borderId="6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5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5" applyAlignment="1" pivotButton="0" quotePrefix="0" xfId="0">
      <alignment vertical="top" wrapText="1"/>
    </xf>
    <xf numFmtId="0" fontId="5" fillId="3" borderId="6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3" borderId="5" applyAlignment="1" pivotButton="0" quotePrefix="0" xfId="0">
      <alignment vertical="top" wrapText="1"/>
    </xf>
    <xf numFmtId="0" fontId="9" fillId="3" borderId="6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164" fontId="5" fillId="5" borderId="5" applyAlignment="1" pivotButton="0" quotePrefix="0" xfId="0">
      <alignment vertical="top" wrapText="1"/>
    </xf>
    <xf numFmtId="164" fontId="5" fillId="5" borderId="6" applyAlignment="1" pivotButton="0" quotePrefix="0" xfId="0">
      <alignment vertical="top" wrapText="1"/>
    </xf>
    <xf numFmtId="9" fontId="5" fillId="5" borderId="1" applyAlignment="1" pivotButton="0" quotePrefix="0" xfId="0">
      <alignment vertical="top" wrapText="1"/>
    </xf>
    <xf numFmtId="9" fontId="5" fillId="5" borderId="5" applyAlignment="1" pivotButton="0" quotePrefix="0" xfId="0">
      <alignment vertical="top" wrapText="1"/>
    </xf>
    <xf numFmtId="9" fontId="5" fillId="5" borderId="6" applyAlignment="1" pivotButton="0" quotePrefix="0" xfId="0">
      <alignment vertical="top" wrapText="1"/>
    </xf>
    <xf numFmtId="1" fontId="5" fillId="5" borderId="1" applyAlignment="1" pivotButton="0" quotePrefix="0" xfId="0">
      <alignment vertical="top" wrapText="1"/>
    </xf>
    <xf numFmtId="1" fontId="5" fillId="5" borderId="5" applyAlignment="1" pivotButton="0" quotePrefix="0" xfId="0">
      <alignment vertical="top" wrapText="1"/>
    </xf>
    <xf numFmtId="1" fontId="5" fillId="5" borderId="6" applyAlignment="1" pivotButton="0" quotePrefix="0" xfId="0">
      <alignment vertical="top" wrapText="1"/>
    </xf>
    <xf numFmtId="1" fontId="5" fillId="7" borderId="1" applyAlignment="1" pivotButton="0" quotePrefix="0" xfId="0">
      <alignment vertical="top" wrapText="1"/>
    </xf>
    <xf numFmtId="1" fontId="5" fillId="7" borderId="5" applyAlignment="1" pivotButton="0" quotePrefix="0" xfId="0">
      <alignment vertical="top" wrapText="1"/>
    </xf>
    <xf numFmtId="1" fontId="5" fillId="7" borderId="6" applyAlignment="1" pivotButton="0" quotePrefix="0" xfId="0">
      <alignment vertical="top" wrapText="1"/>
    </xf>
    <xf numFmtId="165" fontId="5" fillId="7" borderId="1" applyAlignment="1" pivotButton="0" quotePrefix="0" xfId="0">
      <alignment vertical="top" wrapText="1"/>
    </xf>
    <xf numFmtId="165" fontId="5" fillId="7" borderId="5" applyAlignment="1" pivotButton="0" quotePrefix="0" xfId="0">
      <alignment vertical="top" wrapText="1"/>
    </xf>
    <xf numFmtId="165" fontId="5" fillId="7" borderId="6" applyAlignment="1" pivotButton="0" quotePrefix="0" xfId="0">
      <alignment vertical="top" wrapText="1"/>
    </xf>
    <xf numFmtId="0" fontId="10" fillId="3" borderId="0" pivotButton="0" quotePrefix="0" xfId="0"/>
    <xf numFmtId="0" fontId="10" fillId="3" borderId="13" pivotButton="0" quotePrefix="0" xfId="0"/>
    <xf numFmtId="0" fontId="10" fillId="3" borderId="14" pivotButton="0" quotePrefix="0" xfId="0"/>
    <xf numFmtId="0" fontId="10" fillId="3" borderId="15" pivotButton="0" quotePrefix="0" xfId="0"/>
    <xf numFmtId="0" fontId="10" fillId="3" borderId="13" applyAlignment="1" pivotButton="0" quotePrefix="0" xfId="0">
      <alignment horizontal="center"/>
    </xf>
    <xf numFmtId="0" fontId="10" fillId="3" borderId="14" applyAlignment="1" pivotButton="0" quotePrefix="0" xfId="0">
      <alignment horizontal="center"/>
    </xf>
    <xf numFmtId="0" fontId="10" fillId="3" borderId="15" applyAlignment="1" pivotButton="0" quotePrefix="0" xfId="0">
      <alignment horizontal="center"/>
    </xf>
    <xf numFmtId="0" fontId="10" fillId="3" borderId="13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0" fillId="8" borderId="0" pivotButton="0" quotePrefix="0" xfId="0"/>
    <xf numFmtId="0" fontId="11" fillId="8" borderId="0" pivotButton="0" quotePrefix="0" xfId="0"/>
    <xf numFmtId="0" fontId="11" fillId="8" borderId="16" pivotButton="0" quotePrefix="0" xfId="0"/>
    <xf numFmtId="0" fontId="11" fillId="8" borderId="5" pivotButton="0" quotePrefix="0" xfId="0"/>
    <xf numFmtId="0" fontId="11" fillId="8" borderId="17" pivotButton="0" quotePrefix="0" xfId="0"/>
    <xf numFmtId="0" fontId="11" fillId="8" borderId="16" applyAlignment="1" pivotButton="0" quotePrefix="0" xfId="0">
      <alignment horizontal="center"/>
    </xf>
    <xf numFmtId="0" fontId="11" fillId="8" borderId="5" applyAlignment="1" pivotButton="0" quotePrefix="0" xfId="0">
      <alignment horizontal="center"/>
    </xf>
    <xf numFmtId="0" fontId="11" fillId="8" borderId="17" applyAlignment="1" pivotButton="0" quotePrefix="0" xfId="0">
      <alignment horizontal="center"/>
    </xf>
    <xf numFmtId="0" fontId="11" fillId="8" borderId="16" applyAlignment="1" pivotButton="0" quotePrefix="0" xfId="0">
      <alignment horizontal="center" vertical="center"/>
    </xf>
    <xf numFmtId="0" fontId="11" fillId="8" borderId="5" applyAlignment="1" pivotButton="0" quotePrefix="0" xfId="0">
      <alignment horizontal="center" vertical="center"/>
    </xf>
    <xf numFmtId="0" fontId="11" fillId="8" borderId="17" applyAlignment="1" pivotButton="0" quotePrefix="0" xfId="0">
      <alignment horizontal="center" vertical="center"/>
    </xf>
    <xf numFmtId="164" fontId="10" fillId="3" borderId="13" applyAlignment="1" pivotButton="0" quotePrefix="0" xfId="0">
      <alignment horizontal="center" vertical="center"/>
    </xf>
    <xf numFmtId="164" fontId="10" fillId="3" borderId="14" applyAlignment="1" pivotButton="0" quotePrefix="0" xfId="0">
      <alignment horizontal="center" vertical="center"/>
    </xf>
    <xf numFmtId="164" fontId="10" fillId="3" borderId="15" applyAlignment="1" pivotButton="0" quotePrefix="0" xfId="0">
      <alignment horizontal="center" vertical="center"/>
    </xf>
    <xf numFmtId="164" fontId="5" fillId="0" borderId="1" applyAlignment="1" pivotButton="0" quotePrefix="0" xfId="0">
      <alignment vertical="top" wrapText="1"/>
    </xf>
    <xf numFmtId="164" fontId="5" fillId="0" borderId="5" applyAlignment="1" pivotButton="0" quotePrefix="0" xfId="0">
      <alignment vertical="top" wrapText="1"/>
    </xf>
    <xf numFmtId="164" fontId="5" fillId="0" borderId="6" applyAlignment="1" pivotButton="0" quotePrefix="0" xfId="0">
      <alignment vertical="top" wrapText="1"/>
    </xf>
    <xf numFmtId="0" fontId="0" fillId="0" borderId="1" pivotButton="0" quotePrefix="0" xfId="0"/>
    <xf numFmtId="0" fontId="0" fillId="0" borderId="2" pivotButton="0" quotePrefix="0" xfId="0"/>
    <xf numFmtId="0" fontId="7" fillId="6" borderId="18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1" fontId="5" fillId="0" borderId="5" applyAlignment="1" pivotButton="0" quotePrefix="0" xfId="0">
      <alignment vertical="top" wrapText="1"/>
    </xf>
    <xf numFmtId="9" fontId="5" fillId="0" borderId="5" applyAlignment="1" pivotButton="0" quotePrefix="0" xfId="0">
      <alignment vertical="top" wrapText="1"/>
    </xf>
    <xf numFmtId="9" fontId="5" fillId="0" borderId="6" applyAlignment="1" pivotButton="0" quotePrefix="0" xfId="0">
      <alignment vertical="top" wrapText="1"/>
    </xf>
    <xf numFmtId="1" fontId="5" fillId="0" borderId="6" applyAlignment="1" pivotButton="0" quotePrefix="0" xfId="0">
      <alignment vertical="top" wrapText="1"/>
    </xf>
    <xf numFmtId="0" fontId="0" fillId="0" borderId="14" pivotButton="0" quotePrefix="0" xfId="0"/>
    <xf numFmtId="164" fontId="5" fillId="5" borderId="1" applyAlignment="1" pivotButton="0" quotePrefix="0" xfId="0">
      <alignment vertical="top" wrapText="1"/>
    </xf>
    <xf numFmtId="9" fontId="5" fillId="5" borderId="1" applyAlignment="1" pivotButton="0" quotePrefix="0" xfId="0">
      <alignment vertical="top" wrapText="1"/>
    </xf>
    <xf numFmtId="1" fontId="5" fillId="5" borderId="1" applyAlignment="1" pivotButton="0" quotePrefix="0" xfId="0">
      <alignment vertical="top" wrapText="1"/>
    </xf>
    <xf numFmtId="164" fontId="5" fillId="5" borderId="5" applyAlignment="1" pivotButton="0" quotePrefix="0" xfId="0">
      <alignment vertical="top" wrapText="1"/>
    </xf>
    <xf numFmtId="9" fontId="5" fillId="5" borderId="5" applyAlignment="1" pivotButton="0" quotePrefix="0" xfId="0">
      <alignment vertical="top" wrapText="1"/>
    </xf>
    <xf numFmtId="1" fontId="5" fillId="5" borderId="5" applyAlignment="1" pivotButton="0" quotePrefix="0" xfId="0">
      <alignment vertical="top" wrapText="1"/>
    </xf>
    <xf numFmtId="164" fontId="5" fillId="5" borderId="6" applyAlignment="1" pivotButton="0" quotePrefix="0" xfId="0">
      <alignment vertical="top" wrapText="1"/>
    </xf>
    <xf numFmtId="9" fontId="5" fillId="5" borderId="6" applyAlignment="1" pivotButton="0" quotePrefix="0" xfId="0">
      <alignment vertical="top" wrapText="1"/>
    </xf>
    <xf numFmtId="1" fontId="5" fillId="5" borderId="6" applyAlignment="1" pivotButton="0" quotePrefix="0" xfId="0">
      <alignment vertical="top" wrapText="1"/>
    </xf>
    <xf numFmtId="1" fontId="5" fillId="7" borderId="1" applyAlignment="1" pivotButton="0" quotePrefix="0" xfId="0">
      <alignment vertical="top" wrapText="1"/>
    </xf>
    <xf numFmtId="1" fontId="5" fillId="7" borderId="5" applyAlignment="1" pivotButton="0" quotePrefix="0" xfId="0">
      <alignment vertical="top" wrapText="1"/>
    </xf>
    <xf numFmtId="1" fontId="5" fillId="7" borderId="6" applyAlignment="1" pivotButton="0" quotePrefix="0" xfId="0">
      <alignment vertical="top" wrapText="1"/>
    </xf>
    <xf numFmtId="165" fontId="5" fillId="7" borderId="1" applyAlignment="1" pivotButton="0" quotePrefix="0" xfId="0">
      <alignment vertical="top" wrapText="1"/>
    </xf>
    <xf numFmtId="165" fontId="5" fillId="7" borderId="5" applyAlignment="1" pivotButton="0" quotePrefix="0" xfId="0">
      <alignment vertical="top" wrapText="1"/>
    </xf>
    <xf numFmtId="165" fontId="5" fillId="7" borderId="6" applyAlignment="1" pivotButton="0" quotePrefix="0" xfId="0">
      <alignment vertical="top" wrapText="1"/>
    </xf>
    <xf numFmtId="0" fontId="10" fillId="3" borderId="22" applyAlignment="1" pivotButton="0" quotePrefix="0" xfId="0">
      <alignment horizontal="center" vertical="center"/>
    </xf>
    <xf numFmtId="0" fontId="0" fillId="0" borderId="15" pivotButton="0" quotePrefix="0" xfId="0"/>
    <xf numFmtId="164" fontId="10" fillId="3" borderId="22" applyAlignment="1" pivotButton="0" quotePrefix="0" xfId="0">
      <alignment horizontal="center" vertical="center"/>
    </xf>
    <xf numFmtId="0" fontId="11" fillId="8" borderId="2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7" pivotButton="0" quotePrefix="0" xfId="0"/>
    <xf numFmtId="164" fontId="5" fillId="0" borderId="1" applyAlignment="1" pivotButton="0" quotePrefix="0" xfId="0">
      <alignment vertical="top" wrapText="1"/>
    </xf>
    <xf numFmtId="164" fontId="5" fillId="0" borderId="5" applyAlignment="1" pivotButton="0" quotePrefix="0" xfId="0">
      <alignment vertical="top" wrapText="1"/>
    </xf>
    <xf numFmtId="164" fontId="5" fillId="0" borderId="6" applyAlignment="1" pivotButton="0" quotePrefix="0" xfId="0">
      <alignment vertical="top" wrapText="1"/>
    </xf>
  </cellXfs>
  <cellStyles count="1">
    <cellStyle name="Normal" xfId="0"/>
  </cellStyles>
  <dxfs count="20">
    <dxf>
      <font>
        <b val="1"/>
        <color rgb="FF15803D"/>
      </font>
      <fill>
        <patternFill patternType="solid">
          <bgColor rgb="FFEAF7ED"/>
        </patternFill>
      </fill>
    </dxf>
    <dxf>
      <font>
        <b val="1"/>
        <color rgb="FFD97706"/>
      </font>
      <fill>
        <patternFill patternType="solid">
          <bgColor rgb="FFFFF7E6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ont>
        <b val="1"/>
        <color rgb="FF15803D"/>
      </font>
      <fill>
        <patternFill patternType="solid">
          <bgColor rgb="FFEAF7ED"/>
        </patternFill>
      </fill>
    </dxf>
    <dxf>
      <font>
        <b val="1"/>
        <color rgb="FFD97706"/>
      </font>
      <fill>
        <patternFill patternType="solid">
          <bgColor rgb="FFFFF7E6"/>
        </patternFill>
      </fill>
    </dxf>
    <dxf>
      <font>
        <b val="1"/>
        <color rgb="FFD97706"/>
      </font>
      <fill>
        <patternFill patternType="solid">
          <bgColor rgb="FFFFF7E6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ont>
        <b val="1"/>
        <color rgb="FF15803D"/>
      </font>
      <fill>
        <patternFill patternType="solid">
          <bgColor rgb="FFEAF7ED"/>
        </patternFill>
      </fill>
    </dxf>
    <dxf>
      <font>
        <b val="1"/>
        <color rgb="FFD97706"/>
      </font>
      <fill>
        <patternFill patternType="solid">
          <bgColor rgb="FFFFF7E6"/>
        </patternFill>
      </fill>
    </dxf>
    <dxf>
      <font>
        <b val="1"/>
        <color rgb="FF15803D"/>
      </font>
      <fill>
        <patternFill patternType="solid">
          <bgColor rgb="FFEAF7ED"/>
        </patternFill>
      </fill>
    </dxf>
    <dxf>
      <font>
        <color rgb="FF1D4ED8"/>
      </font>
      <fill>
        <patternFill patternType="solid">
          <bgColor rgb="FFEAF2FF"/>
        </patternFill>
      </fill>
    </dxf>
    <dxf>
      <font>
        <color rgb="FFD97706"/>
      </font>
      <fill>
        <patternFill patternType="solid">
          <bgColor rgb="FFFFF7E6"/>
        </patternFill>
      </fill>
    </dxf>
    <dxf>
      <font>
        <color rgb="FFB91C1C"/>
      </font>
      <fill>
        <patternFill patternType="solid">
          <bgColor rgb="FFFDECEC"/>
        </patternFill>
      </fill>
    </dxf>
    <dxf>
      <font>
        <b val="1"/>
        <color rgb="FF15803D"/>
      </font>
      <fill>
        <patternFill patternType="solid">
          <bgColor rgb="FFEAF7ED"/>
        </patternFill>
      </fill>
    </dxf>
    <dxf>
      <font>
        <b val="1"/>
        <color rgb="FFD97706"/>
      </font>
      <fill>
        <patternFill patternType="solid">
          <bgColor rgb="FFFFF7E6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  <dxf>
      <font>
        <b val="1"/>
        <color rgb="FF15803D"/>
      </font>
      <fill>
        <patternFill patternType="solid">
          <bgColor rgb="FFEAF7ED"/>
        </patternFill>
      </fill>
    </dxf>
    <dxf>
      <font>
        <b val="1"/>
        <color rgb="FFD97706"/>
      </font>
      <fill>
        <patternFill patternType="solid">
          <bgColor rgb="FFFFF7E6"/>
        </patternFill>
      </fill>
    </dxf>
    <dxf>
      <font>
        <b val="1"/>
        <color rgb="FFB91C1C"/>
      </font>
      <fill>
        <patternFill patternType="solid">
          <bgColor rgb="FFFDEC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/>
              <a:t>候选项目加权总分（0–100）</a:t>
            </a:r>
          </a:p>
        </rich>
      </tx>
      <txPr>
        <a:bodyPr anchorCtr="1"/>
        <a:lstStyle/>
        <a:p>
          <a:pPr>
            <a:defRPr sz="900"/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总分</v>
          </tx>
          <spPr>
            <a:ln>
              <a:prstDash val="solid"/>
            </a:ln>
          </spPr>
          <cat>
            <strRef>
              <f>'决策面板'!$B$8:$B$17</f>
              <strCache>
                <ptCount val="0"/>
              </strCache>
            </strRef>
          </cat>
          <val>
            <numRef>
              <f>'决策面板'!$C$8:$C$17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  <max val="100"/>
          <min val="0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6</row>
      <rowOff>0</rowOff>
    </from>
    <to>
      <col>17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2" customWidth="1" min="3" max="3"/>
    <col width="35" customWidth="1" min="4" max="4"/>
    <col width="3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4" t="inlineStr">
        <is>
          <t>DGX Spark 黑客松｜选题评分系统 v0.3</t>
        </is>
      </c>
    </row>
    <row r="2" ht="30" customHeight="1">
      <c r="A2" s="9" t="inlineStr">
        <is>
          <t>目标：在一次团队会议中形成可追溯的选题共识。先过硬门槛，再形成一组100分共识分，最后用证据强度与评分完整度约束结论。</t>
        </is>
      </c>
      <c r="B2" s="144" t="n"/>
      <c r="C2" s="144" t="n"/>
      <c r="D2" s="144" t="n"/>
      <c r="E2" s="144" t="n"/>
      <c r="F2" s="144" t="n"/>
      <c r="G2" s="144" t="n"/>
      <c r="H2" s="144" t="n"/>
    </row>
    <row r="4" ht="24" customHeight="1">
      <c r="A4" s="13" t="inlineStr">
        <is>
          <t>一、三层决策结构</t>
        </is>
      </c>
    </row>
    <row r="5" ht="32" customHeight="1">
      <c r="A5" s="23" t="inlineStr">
        <is>
          <t>层级</t>
        </is>
      </c>
      <c r="B5" s="24" t="inlineStr">
        <is>
          <t>用途</t>
        </is>
      </c>
      <c r="C5" s="24" t="inlineStr">
        <is>
          <t>输出</t>
        </is>
      </c>
      <c r="D5" s="25" t="inlineStr">
        <is>
          <t>规则</t>
        </is>
      </c>
    </row>
    <row r="6">
      <c r="A6" s="30" t="inlineStr">
        <is>
          <t>1｜硬门槛</t>
        </is>
      </c>
      <c r="B6" s="30" t="inlineStr">
        <is>
          <t>排除没有数据、无法验证、无法交付或风险不可接受的想法</t>
        </is>
      </c>
      <c r="C6" s="30" t="inlineStr">
        <is>
          <t>通过 / 待验证 / 淘汰</t>
        </is>
      </c>
      <c r="D6" s="30" t="inlineStr">
        <is>
          <t>任一“失败”即淘汰；任一“待验证”不得直接入选</t>
        </is>
      </c>
    </row>
    <row r="7">
      <c r="A7" s="31" t="inlineStr">
        <is>
          <t>2｜会议共识评分</t>
        </is>
      </c>
      <c r="B7" s="31" t="inlineStr">
        <is>
          <t>比较产品价值、场景深度、Spark适配、演示、数据评估与交付</t>
        </is>
      </c>
      <c r="C7" s="31" t="inlineStr">
        <is>
          <t>0–100分</t>
        </is>
      </c>
      <c r="D7" s="31" t="inlineStr">
        <is>
          <t>团队逐项讨论并记录一个0–5共识分；按公开权重换算</t>
        </is>
      </c>
    </row>
    <row r="8">
      <c r="A8" s="32" t="inlineStr">
        <is>
          <t>3｜证据与完整度</t>
        </is>
      </c>
      <c r="B8" s="32" t="inlineStr">
        <is>
          <t>防止高分建立在未说清的假设上</t>
        </is>
      </c>
      <c r="C8" s="32" t="inlineStr">
        <is>
          <t>证据强度 + 评分完整度</t>
        </is>
      </c>
      <c r="D8" s="32" t="inlineStr">
        <is>
          <t>4–5分必须有证据（无证据自动封顶3分）；12项未评完不得形成最终结论</t>
        </is>
      </c>
    </row>
    <row r="10" ht="24" customHeight="1">
      <c r="A10" s="13" t="inlineStr">
        <is>
          <t>二、推荐评审流程（约45–60分钟）</t>
        </is>
      </c>
    </row>
    <row r="11" ht="28" customHeight="1">
      <c r="A11" s="35" t="n">
        <v>1</v>
      </c>
      <c r="B11" s="40" t="inlineStr">
        <is>
          <t>项目所有者用同一模板陈述：用户、场景、数据、异常定义、核心闭环、Spark必要性。</t>
        </is>
      </c>
    </row>
    <row r="12" ht="28" customHeight="1">
      <c r="A12" s="35" t="n">
        <v>2</v>
      </c>
      <c r="B12" s="40" t="inlineStr">
        <is>
          <t>团队先检查6个硬门槛；“待验证”必须明确24小时实验与负责人。</t>
        </is>
      </c>
    </row>
    <row r="13" ht="28" customHeight="1">
      <c r="A13" s="35" t="n">
        <v>3</v>
      </c>
      <c r="B13" s="40" t="inlineStr">
        <is>
          <t>主持人逐项朗读评分问题；团队讨论后只记录一个共识分，不保留个人分。</t>
        </is>
      </c>
    </row>
    <row r="14" ht="28" customHeight="1">
      <c r="A14" s="35" t="n">
        <v>4</v>
      </c>
      <c r="B14" s="40" t="inlineStr">
        <is>
          <t>无法共识时先记录保留意见和待验证假设；不要用平均数掩盖真实分歧。</t>
        </is>
      </c>
    </row>
    <row r="15" ht="28" customHeight="1">
      <c r="A15" s="35" t="n">
        <v>5</v>
      </c>
      <c r="B15" s="40" t="inlineStr">
        <is>
          <t>查看总分、六维结构、证据强度和评分完整度，形成优先、验证、备选或放弃结论。</t>
        </is>
      </c>
    </row>
    <row r="16" ht="28" customHeight="1">
      <c r="A16" s="35" t="n">
        <v>6</v>
      </c>
      <c r="B16" s="41" t="inlineStr">
        <is>
          <t>实验后更新证据索引并在下次会议重评；没有新证据，不允许靠辩论提高分数。</t>
        </is>
      </c>
      <c r="C16" s="144" t="n"/>
      <c r="D16" s="144" t="n"/>
      <c r="E16" s="144" t="n"/>
      <c r="F16" s="144" t="n"/>
      <c r="G16" s="144" t="n"/>
      <c r="H16" s="144" t="n"/>
    </row>
    <row r="18" ht="24" customHeight="1">
      <c r="A18" s="13" t="inlineStr">
        <is>
          <t>三、统一评分语言</t>
        </is>
      </c>
    </row>
    <row r="19" ht="32" customHeight="1">
      <c r="A19" s="23" t="inlineStr">
        <is>
          <t>分数</t>
        </is>
      </c>
      <c r="B19" s="24" t="inlineStr">
        <is>
          <t>含义</t>
        </is>
      </c>
      <c r="C19" s="24" t="inlineStr">
        <is>
          <t>证据要求</t>
        </is>
      </c>
      <c r="D19" s="25" t="inlineStr">
        <is>
          <t>使用提醒</t>
        </is>
      </c>
      <c r="F19" s="23" t="inlineStr">
        <is>
          <t>决策解释</t>
        </is>
      </c>
      <c r="H19" s="145" t="n"/>
    </row>
    <row r="20">
      <c r="A20" s="50" t="n">
        <v>0</v>
      </c>
      <c r="B20" s="30" t="inlineStr">
        <is>
          <t>没有信息 / 不成立</t>
        </is>
      </c>
      <c r="C20" s="30" t="inlineStr">
        <is>
          <t>无</t>
        </is>
      </c>
      <c r="D20" s="30" t="inlineStr">
        <is>
          <t>不要把“不确定”当成3分</t>
        </is>
      </c>
      <c r="F20" s="58" t="inlineStr">
        <is>
          <t>优先：门槛全通过、总分≥80、证据≥70%。</t>
        </is>
      </c>
    </row>
    <row r="21">
      <c r="A21" s="51" t="n">
        <v>1</v>
      </c>
      <c r="B21" s="31" t="inlineStr">
        <is>
          <t>弱：主要是口号或远期愿景</t>
        </is>
      </c>
      <c r="C21" s="31" t="inlineStr">
        <is>
          <t>仅假设</t>
        </is>
      </c>
      <c r="D21" s="31" t="inlineStr">
        <is>
          <t>需要先验证基本可行性</t>
        </is>
      </c>
      <c r="F21" s="58" t="inlineStr">
        <is>
          <t>进入24h验证：门槛待验证且总分≥待验证总分下限（默认60），或门槛通过、总分≥70但未达优先线（含高分低证据）。</t>
        </is>
      </c>
    </row>
    <row r="22">
      <c r="A22" s="51" t="n">
        <v>2</v>
      </c>
      <c r="B22" s="31" t="inlineStr">
        <is>
          <t>部分成立，但关键环节缺失</t>
        </is>
      </c>
      <c r="C22" s="31" t="inlineStr">
        <is>
          <t>少量来源</t>
        </is>
      </c>
      <c r="D22" s="31" t="inlineStr">
        <is>
          <t>说明缺口，不补脑</t>
        </is>
      </c>
      <c r="F22" s="58" t="inlineStr">
        <is>
          <t>会议待完成：12项未评完，或团队尚未确认共识。</t>
        </is>
      </c>
    </row>
    <row r="23">
      <c r="A23" s="51" t="n">
        <v>3</v>
      </c>
      <c r="B23" s="31" t="inlineStr">
        <is>
          <t>可信最低线：路径清楚且可落地</t>
        </is>
      </c>
      <c r="C23" s="31" t="inlineStr">
        <is>
          <t>有来源或可复现说明</t>
        </is>
      </c>
      <c r="D23" s="31" t="inlineStr">
        <is>
          <t>可进入比较</t>
        </is>
      </c>
      <c r="F23" s="58" t="inlineStr">
        <is>
          <t>备选：总分60–69，价值存在但参赛竞争力不足。</t>
        </is>
      </c>
    </row>
    <row r="24">
      <c r="A24" s="51" t="n">
        <v>4</v>
      </c>
      <c r="B24" s="31" t="inlineStr">
        <is>
          <t>强：已有原型、数据或测量结果</t>
        </is>
      </c>
      <c r="C24" s="31" t="inlineStr">
        <is>
          <t>必须有来源</t>
        </is>
      </c>
      <c r="D24" s="31" t="inlineStr">
        <is>
          <t>无证据自动封顶按3分计算</t>
        </is>
      </c>
      <c r="F24" s="59" t="inlineStr">
        <is>
          <t>淘汰/放弃：硬门槛失败；总分&lt;60；门槛待验证且总分&lt;待验证总分下限。</t>
        </is>
      </c>
      <c r="G24" s="144" t="n"/>
      <c r="H24" s="144" t="n"/>
    </row>
    <row r="25">
      <c r="A25" s="52" t="n">
        <v>5</v>
      </c>
      <c r="B25" s="32" t="inlineStr">
        <is>
          <t>卓越：现场可演示且有对照验证</t>
        </is>
      </c>
      <c r="C25" s="32" t="inlineStr">
        <is>
          <t>必须已验证</t>
        </is>
      </c>
      <c r="D25" s="32" t="inlineStr">
        <is>
          <t>需要可复现，不接受单次演示</t>
        </is>
      </c>
    </row>
    <row r="27">
      <c r="A27" s="146" t="inlineStr">
        <is>
          <t>术语：前72小时最小纵切 = 数据输入→模型判断→可见结果，用来尽早暴露集成风险，并非72小时做完产品。核心闭环≤90秒 = 评委在90秒内看懂异常→判断→行动→结果，并非整场路演只有90秒。前三个项目均为演示数据。 v0.3新增：4–5分若对应证据系数&lt;60%（低于“有来源”），总分计算时自动按3分封顶；被封顶项数见“会议评分”AK列。</t>
        </is>
      </c>
      <c r="B27" s="147" t="n"/>
      <c r="C27" s="147" t="n"/>
      <c r="D27" s="147" t="n"/>
      <c r="E27" s="147" t="n"/>
      <c r="F27" s="147" t="n"/>
      <c r="G27" s="147" t="n"/>
      <c r="H27" s="148" t="n"/>
    </row>
    <row r="28">
      <c r="A28" s="149" t="n"/>
      <c r="B28" s="150" t="n"/>
      <c r="C28" s="150" t="n"/>
      <c r="D28" s="150" t="n"/>
      <c r="E28" s="150" t="n"/>
      <c r="F28" s="150" t="n"/>
      <c r="G28" s="150" t="n"/>
      <c r="H28" s="151" t="n"/>
    </row>
  </sheetData>
  <mergeCells count="18">
    <mergeCell ref="A18:H18"/>
    <mergeCell ref="A4:H4"/>
    <mergeCell ref="B14:H14"/>
    <mergeCell ref="F20:H20"/>
    <mergeCell ref="F23:H23"/>
    <mergeCell ref="F19:H19"/>
    <mergeCell ref="F22:H22"/>
    <mergeCell ref="B13:H13"/>
    <mergeCell ref="A2:H2"/>
    <mergeCell ref="B12:H12"/>
    <mergeCell ref="A10:H10"/>
    <mergeCell ref="B16:H16"/>
    <mergeCell ref="B15:H15"/>
    <mergeCell ref="B11:H11"/>
    <mergeCell ref="A1:H1"/>
    <mergeCell ref="F21:H21"/>
    <mergeCell ref="A27:H28"/>
    <mergeCell ref="F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2" customWidth="1" min="3" max="3"/>
    <col width="8" customWidth="1" min="4" max="4"/>
    <col width="31" customWidth="1" min="5" max="5"/>
    <col width="29" customWidth="1" min="6" max="6"/>
    <col width="29" customWidth="1" min="7" max="7"/>
    <col width="29" customWidth="1" min="8" max="8"/>
    <col width="29" customWidth="1" min="9" max="9"/>
    <col width="3" customWidth="1" min="10" max="10"/>
    <col width="18" customWidth="1" min="11" max="11"/>
    <col width="14" customWidth="1" min="12" max="12"/>
    <col width="27" customWidth="1" min="13" max="13"/>
    <col width="27" customWidth="1" min="14" max="14"/>
  </cols>
  <sheetData>
    <row r="1" ht="34" customHeight="1">
      <c r="A1" s="4" t="inlineStr">
        <is>
          <t>参数与评分锚点</t>
        </is>
      </c>
    </row>
    <row r="2" ht="30" customHeight="1">
      <c r="A2" s="9" t="inlineStr">
        <is>
          <t>权重、锚点和阈值都是工作簿内的显式参数。修改这里即可重算所有项目，避免隐藏规则。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</row>
    <row r="4" ht="32" customHeight="1">
      <c r="A4" s="23" t="inlineStr">
        <is>
          <t>ID</t>
        </is>
      </c>
      <c r="B4" s="24" t="inlineStr">
        <is>
          <t>支柱</t>
        </is>
      </c>
      <c r="C4" s="24" t="inlineStr">
        <is>
          <t>评分项</t>
        </is>
      </c>
      <c r="D4" s="24" t="inlineStr">
        <is>
          <t>权重</t>
        </is>
      </c>
      <c r="E4" s="24" t="inlineStr">
        <is>
          <t>关键问题</t>
        </is>
      </c>
      <c r="F4" s="24" t="inlineStr">
        <is>
          <t>1分锚点</t>
        </is>
      </c>
      <c r="G4" s="24" t="inlineStr">
        <is>
          <t>3分锚点</t>
        </is>
      </c>
      <c r="H4" s="24" t="inlineStr">
        <is>
          <t>5分锚点</t>
        </is>
      </c>
      <c r="I4" s="25" t="inlineStr">
        <is>
          <t>所需证据</t>
        </is>
      </c>
      <c r="K4" s="23" t="inlineStr">
        <is>
          <t>证据状态</t>
        </is>
      </c>
      <c r="L4" s="25" t="inlineStr">
        <is>
          <t>系数</t>
        </is>
      </c>
    </row>
    <row r="5" ht="58" customHeight="1">
      <c r="A5" s="30" t="inlineStr">
        <is>
          <t>C1</t>
        </is>
      </c>
      <c r="B5" s="30" t="inlineStr">
        <is>
          <t>产品与商业化</t>
        </is>
      </c>
      <c r="C5" s="30" t="inlineStr">
        <is>
          <t>痛点强度与用户清晰度</t>
        </is>
      </c>
      <c r="D5" s="152" t="n">
        <v>10</v>
      </c>
      <c r="E5" s="30" t="inlineStr">
        <is>
          <t>谁在什么时刻遭遇多严重、多频繁的问题？</t>
        </is>
      </c>
      <c r="F5" s="30" t="inlineStr">
        <is>
          <t>泛化痛点，没有具体用户</t>
        </is>
      </c>
      <c r="G5" s="30" t="inlineStr">
        <is>
          <t>用户、触发时刻和可观察损失明确</t>
        </is>
      </c>
      <c r="H5" s="30" t="inlineStr">
        <is>
          <t>高频或高损痛点，已有访谈/案例/量化证据</t>
        </is>
      </c>
      <c r="I5" s="30" t="inlineStr">
        <is>
          <t>访谈、工单、事故或业务损失证据</t>
        </is>
      </c>
      <c r="K5" s="30" t="inlineStr">
        <is>
          <t>未提供</t>
        </is>
      </c>
      <c r="L5" s="153" t="n">
        <v>0</v>
      </c>
    </row>
    <row r="6" ht="58" customHeight="1">
      <c r="A6" s="31" t="inlineStr">
        <is>
          <t>C2</t>
        </is>
      </c>
      <c r="B6" s="31" t="inlineStr">
        <is>
          <t>产品与商业化</t>
        </is>
      </c>
      <c r="C6" s="31" t="inlineStr">
        <is>
          <t>付费方、价值与扩展路径</t>
        </is>
      </c>
      <c r="D6" s="154" t="n">
        <v>10</v>
      </c>
      <c r="E6" s="31" t="inlineStr">
        <is>
          <t>谁付费，为什么付费，怎样从原型走向试点？</t>
        </is>
      </c>
      <c r="F6" s="31" t="inlineStr">
        <is>
          <t>无付费者或只有宏大市场</t>
        </is>
      </c>
      <c r="G6" s="31" t="inlineStr">
        <is>
          <t>付费方与价值主张清楚，有合理试点路径</t>
        </is>
      </c>
      <c r="H6" s="31" t="inlineStr">
        <is>
          <t>ROI/预算/渠道可量化，商业扩展自然</t>
        </is>
      </c>
      <c r="I6" s="31" t="inlineStr">
        <is>
          <t>采购方、ROI假设、试点或渠道证据</t>
        </is>
      </c>
      <c r="K6" s="31" t="inlineStr">
        <is>
          <t>假设</t>
        </is>
      </c>
      <c r="L6" s="155" t="n">
        <v>0.25</v>
      </c>
    </row>
    <row r="7" ht="58" customHeight="1">
      <c r="A7" s="31" t="inlineStr">
        <is>
          <t>C3</t>
        </is>
      </c>
      <c r="B7" s="31" t="inlineStr">
        <is>
          <t>场景与实用性</t>
        </is>
      </c>
      <c r="C7" s="31" t="inlineStr">
        <is>
          <t>场景具体性与深度优先</t>
        </is>
      </c>
      <c r="D7" s="154" t="n">
        <v>8</v>
      </c>
      <c r="E7" s="31" t="inlineStr">
        <is>
          <t>是否聚焦一个具体工作流，并把关键例外做深？</t>
        </is>
      </c>
      <c r="F7" s="31" t="inlineStr">
        <is>
          <t>大而全平台，用户流程模糊</t>
        </is>
      </c>
      <c r="G7" s="31" t="inlineStr">
        <is>
          <t>聚焦单一场景，主流程与主要例外明确</t>
        </is>
      </c>
      <c r="H7" s="31" t="inlineStr">
        <is>
          <t>边界、异常、人工升级和责任链都清楚</t>
        </is>
      </c>
      <c r="I7" s="31" t="inlineStr">
        <is>
          <t>场景图、用户旅程、流程或SOP</t>
        </is>
      </c>
      <c r="K7" s="31" t="inlineStr">
        <is>
          <t>有来源</t>
        </is>
      </c>
      <c r="L7" s="155" t="n">
        <v>0.6</v>
      </c>
    </row>
    <row r="8" ht="58" customHeight="1">
      <c r="A8" s="31" t="inlineStr">
        <is>
          <t>C4</t>
        </is>
      </c>
      <c r="B8" s="31" t="inlineStr">
        <is>
          <t>场景与实用性</t>
        </is>
      </c>
      <c r="C8" s="31" t="inlineStr">
        <is>
          <t>行动性与实际结果</t>
        </is>
      </c>
      <c r="D8" s="154" t="n">
        <v>7</v>
      </c>
      <c r="E8" s="31" t="inlineStr">
        <is>
          <t>输出是否改变真实决策或推动下一步行动？</t>
        </is>
      </c>
      <c r="F8" s="31" t="inlineStr">
        <is>
          <t>只生成文本、总结或聊天</t>
        </is>
      </c>
      <c r="G8" s="31" t="inlineStr">
        <is>
          <t>给指定角色可执行建议</t>
        </is>
      </c>
      <c r="H8" s="31" t="inlineStr">
        <is>
          <t>完成行动、确认结果，并在不确定时升级</t>
        </is>
      </c>
      <c r="I8" s="31" t="inlineStr">
        <is>
          <t>行动接口、处置SOP、闭环结果</t>
        </is>
      </c>
      <c r="K8" s="32" t="inlineStr">
        <is>
          <t>已验证</t>
        </is>
      </c>
      <c r="L8" s="156" t="n">
        <v>1</v>
      </c>
    </row>
    <row r="9" ht="58" customHeight="1">
      <c r="A9" s="31" t="inlineStr">
        <is>
          <t>C5</t>
        </is>
      </c>
      <c r="B9" s="31" t="inlineStr">
        <is>
          <t>Spark与竞赛适配</t>
        </is>
      </c>
      <c r="C9" s="31" t="inlineStr">
        <is>
          <t>Spark不可替代性</t>
        </is>
      </c>
      <c r="D9" s="154" t="n">
        <v>8</v>
      </c>
      <c r="E9" s="31" t="inlineStr">
        <is>
          <t>本地、低延迟、断网、统一内存或隐私是否是硬需求？</t>
        </is>
      </c>
      <c r="F9" s="31" t="inlineStr">
        <is>
          <t>普通笔记本或云API即可完成</t>
        </is>
      </c>
      <c r="G9" s="31" t="inlineStr">
        <is>
          <t>Spark明显改善隐私、延迟或可部署性</t>
        </is>
      </c>
      <c r="H9" s="31" t="inlineStr">
        <is>
          <t>可现场演示断网/本地多模型/敏感数据优势</t>
        </is>
      </c>
      <c r="I9" s="31" t="inlineStr">
        <is>
          <t>断网测试、延迟、内存或隐私约束</t>
        </is>
      </c>
    </row>
    <row r="10" ht="58" customHeight="1">
      <c r="A10" s="31" t="inlineStr">
        <is>
          <t>C6</t>
        </is>
      </c>
      <c r="B10" s="31" t="inlineStr">
        <is>
          <t>Spark与竞赛适配</t>
        </is>
      </c>
      <c r="C10" s="31" t="inlineStr">
        <is>
          <t>能力互补与时间状态价值</t>
        </is>
      </c>
      <c r="D10" s="154" t="n">
        <v>7</v>
      </c>
      <c r="E10" s="31" t="inlineStr">
        <is>
          <t>多模型/传感器是否带来独立证据，历史状态是否必要？</t>
        </is>
      </c>
      <c r="F10" s="31" t="inlineStr">
        <is>
          <t>同一模型换角色，没有增量信息</t>
        </is>
      </c>
      <c r="G10" s="31" t="inlineStr">
        <is>
          <t>不同数据或模型各有明确贡献</t>
        </is>
      </c>
      <c r="H10" s="31" t="inlineStr">
        <is>
          <t>消融或时间序列证明每个感官/状态不可替代</t>
        </is>
      </c>
      <c r="I10" s="31" t="inlineStr">
        <is>
          <t>单模态对照、消融、轨迹或状态样例</t>
        </is>
      </c>
    </row>
    <row r="11" ht="58" customHeight="1">
      <c r="A11" s="31" t="inlineStr">
        <is>
          <t>C7</t>
        </is>
      </c>
      <c r="B11" s="31" t="inlineStr">
        <is>
          <t>演示与闭环</t>
        </is>
      </c>
      <c r="C11" s="31" t="inlineStr">
        <is>
          <t>核心价值闭环≤90秒</t>
        </is>
      </c>
      <c r="D11" s="154" t="n">
        <v>8</v>
      </c>
      <c r="E11" s="31" t="inlineStr">
        <is>
          <t>评委能否在90秒内看到异常→判断→行动→结果？（不等于整场路演只有90秒）</t>
        </is>
      </c>
      <c r="F11" s="31" t="inlineStr">
        <is>
          <t>超过3分钟或没有明确终点</t>
        </is>
      </c>
      <c r="G11" s="31" t="inlineStr">
        <is>
          <t>90秒内有清楚的前后变化</t>
        </is>
      </c>
      <c r="H11" s="31" t="inlineStr">
        <is>
          <t>60秒内闭环，失败/分歧也有处理</t>
        </is>
      </c>
      <c r="I11" s="31" t="inlineStr">
        <is>
          <t>固定演示脚本、录屏或端到端计时</t>
        </is>
      </c>
      <c r="K11" s="23" t="inlineStr">
        <is>
          <t>决策阈值</t>
        </is>
      </c>
      <c r="L11" s="25" t="inlineStr">
        <is>
          <t>值</t>
        </is>
      </c>
    </row>
    <row r="12" ht="58" customHeight="1">
      <c r="A12" s="31" t="inlineStr">
        <is>
          <t>C8</t>
        </is>
      </c>
      <c r="B12" s="31" t="inlineStr">
        <is>
          <t>演示与闭环</t>
        </is>
      </c>
      <c r="C12" s="31" t="inlineStr">
        <is>
          <t>可视化、直观性与wow</t>
        </is>
      </c>
      <c r="D12" s="154" t="n">
        <v>7</v>
      </c>
      <c r="E12" s="31" t="inlineStr">
        <is>
          <t>核心价值是否无需解释就能被看见？</t>
        </is>
      </c>
      <c r="F12" s="31" t="inlineStr">
        <is>
          <t>主要是终端或长文本</t>
        </is>
      </c>
      <c r="G12" s="31" t="inlineStr">
        <is>
          <t>地图、时间线、3D、叠加层等表达清楚</t>
        </is>
      </c>
      <c r="H12" s="31" t="inlineStr">
        <is>
          <t>视觉变化直观，同时展示依据、不确定性和结果</t>
        </is>
      </c>
      <c r="I12" s="31" t="inlineStr">
        <is>
          <t>界面原型、故事板、视觉证据</t>
        </is>
      </c>
      <c r="K12" s="30" t="inlineStr">
        <is>
          <t>优先总分</t>
        </is>
      </c>
      <c r="L12" s="152" t="n">
        <v>80</v>
      </c>
    </row>
    <row r="13" ht="58" customHeight="1">
      <c r="A13" s="31" t="inlineStr">
        <is>
          <t>C9</t>
        </is>
      </c>
      <c r="B13" s="31" t="inlineStr">
        <is>
          <t>数据与评估</t>
        </is>
      </c>
      <c r="C13" s="31" t="inlineStr">
        <is>
          <t>数据可信、合法与可获得</t>
        </is>
      </c>
      <c r="D13" s="154" t="n">
        <v>10</v>
      </c>
      <c r="E13" s="31" t="inlineStr">
        <is>
          <t>数据能否及时获得，来源、许可、版本和覆盖是否可信？</t>
        </is>
      </c>
      <c r="F13" s="31" t="inlineStr">
        <is>
          <t>没有数据或来源不明</t>
        </is>
      </c>
      <c r="G13" s="31" t="inlineStr">
        <is>
          <t>数据可访问且出处/许可清楚</t>
        </is>
      </c>
      <c r="H13" s="31" t="inlineStr">
        <is>
          <t>权威、版本化、有覆盖和标签，并有离线副本</t>
        </is>
      </c>
      <c r="I13" s="31" t="inlineStr">
        <is>
          <t>权威URL、许可、样本、版本或数据字典</t>
        </is>
      </c>
      <c r="K13" s="31" t="inlineStr">
        <is>
          <t>优先证据强度</t>
        </is>
      </c>
      <c r="L13" s="155" t="n">
        <v>0.7</v>
      </c>
    </row>
    <row r="14" ht="58" customHeight="1">
      <c r="A14" s="31" t="inlineStr">
        <is>
          <t>C10</t>
        </is>
      </c>
      <c r="B14" s="31" t="inlineStr">
        <is>
          <t>数据与评估</t>
        </is>
      </c>
      <c r="C14" s="31" t="inlineStr">
        <is>
          <t>异常定义、指标与透明审计</t>
        </is>
      </c>
      <c r="D14" s="154" t="n">
        <v>10</v>
      </c>
      <c r="E14" s="31" t="inlineStr">
        <is>
          <t>异常/成功能否被规则化、复现和量化评估？</t>
        </is>
      </c>
      <c r="F14" s="31" t="inlineStr">
        <is>
          <t>只有“AI识别风险”等模糊描述</t>
        </is>
      </c>
      <c r="G14" s="31" t="inlineStr">
        <is>
          <t>阈值、标签和指标明确，可重复评测</t>
        </is>
      </c>
      <c r="H14" s="31" t="inlineStr">
        <is>
          <t>有基线、测试集、误报漏报和完整审计链</t>
        </is>
      </c>
      <c r="I14" s="31" t="inlineStr">
        <is>
          <t>标注规范、测试集、指标、基线和日志</t>
        </is>
      </c>
      <c r="K14" s="31" t="inlineStr">
        <is>
          <t>验证总分</t>
        </is>
      </c>
      <c r="L14" s="154" t="n">
        <v>70</v>
      </c>
      <c r="M14" t="inlineStr">
        <is>
          <t>总分≥此值且未达优先线 → 进入24h验证（含高分低证据）</t>
        </is>
      </c>
    </row>
    <row r="15" ht="58" customHeight="1">
      <c r="A15" s="31" t="inlineStr">
        <is>
          <t>C11</t>
        </is>
      </c>
      <c r="B15" s="31" t="inlineStr">
        <is>
          <t>交付与风险</t>
        </is>
      </c>
      <c r="C15" s="31" t="inlineStr">
        <is>
          <t>前72h最小端到端链路</t>
        </is>
      </c>
      <c r="D15" s="154" t="n">
        <v>8</v>
      </c>
      <c r="E15" s="31" t="inlineStr">
        <is>
          <t>前三天能否跑通数据输入→模型判断→可见结果？（不要求完成整个产品）</t>
        </is>
      </c>
      <c r="F15" s="31" t="inlineStr">
        <is>
          <t>范围超过赛期或依赖过多</t>
        </is>
      </c>
      <c r="G15" s="31" t="inlineStr">
        <is>
          <t>72小时内最小链路可行，责任可拆分</t>
        </is>
      </c>
      <c r="H15" s="31" t="inlineStr">
        <is>
          <t>24–48小时骨架可运行，关键依赖已验证</t>
        </is>
      </c>
      <c r="I15" s="31" t="inlineStr">
        <is>
          <t>任务图、时间盒、负责人和纵切计划</t>
        </is>
      </c>
      <c r="K15" s="31" t="inlineStr">
        <is>
          <t>待验证总分下限</t>
        </is>
      </c>
      <c r="L15" s="31" t="n">
        <v>60</v>
      </c>
      <c r="M15" t="inlineStr">
        <is>
          <t>门槛待验证且总分低于此值 → 放弃</t>
        </is>
      </c>
    </row>
    <row r="16" ht="58" customHeight="1">
      <c r="A16" s="32" t="inlineStr">
        <is>
          <t>C12</t>
        </is>
      </c>
      <c r="B16" s="32" t="inlineStr">
        <is>
          <t>交付与风险</t>
        </is>
      </c>
      <c r="C16" s="32" t="inlineStr">
        <is>
          <t>技术风险、资源预算与降级</t>
        </is>
      </c>
      <c r="D16" s="157" t="n">
        <v>7</v>
      </c>
      <c r="E16" s="32" t="inlineStr">
        <is>
          <t>aarch64、内存、模型、网络和失败恢复是否有可靠后路？</t>
        </is>
      </c>
      <c r="F16" s="32" t="inlineStr">
        <is>
          <t>关键模型未验证，OOM或依赖风险高</t>
        </is>
      </c>
      <c r="G16" s="32" t="inlineStr">
        <is>
          <t>有内存预算、主路径测试和替代方案</t>
        </is>
      </c>
      <c r="H16" s="32" t="inlineStr">
        <is>
          <t>延迟/内存已测，有降级、重启和断网恢复</t>
        </is>
      </c>
      <c r="I16" s="32" t="inlineStr">
        <is>
          <t>Spark实测、资源预算、fallback与恢复测试</t>
        </is>
      </c>
      <c r="K16" s="31" t="inlineStr">
        <is>
          <t>备选下限</t>
        </is>
      </c>
      <c r="L16" s="154" t="n">
        <v>60</v>
      </c>
    </row>
    <row r="17">
      <c r="A17" s="84" t="inlineStr">
        <is>
          <t>权重合计（必须=100）</t>
        </is>
      </c>
      <c r="B17" s="158" t="n"/>
      <c r="C17" s="158" t="n"/>
      <c r="D17" s="86">
        <f>SUM(D5:D16)</f>
        <v/>
      </c>
      <c r="K17" s="32" t="inlineStr">
        <is>
          <t>评分完整度要求</t>
        </is>
      </c>
      <c r="L17" s="156" t="n">
        <v>1</v>
      </c>
    </row>
    <row r="20" ht="32" customHeight="1">
      <c r="K20" s="23" t="inlineStr">
        <is>
          <t>6个硬门槛（通过 / 待验证 / 失败）</t>
        </is>
      </c>
      <c r="N20" s="145" t="n"/>
    </row>
    <row r="21">
      <c r="K21" s="30" t="inlineStr">
        <is>
          <t>G1</t>
        </is>
      </c>
      <c r="L21" s="30" t="inlineStr">
        <is>
          <t>数据48小时可用</t>
        </is>
      </c>
      <c r="M21" s="30" t="inlineStr">
        <is>
          <t>合法、可下载、可留离线副本</t>
        </is>
      </c>
      <c r="N21" s="30" t="inlineStr">
        <is>
          <t>失败：核心数据不可获得或许可不明</t>
        </is>
      </c>
    </row>
    <row r="22">
      <c r="K22" s="31" t="inlineStr">
        <is>
          <t>G2</t>
        </is>
      </c>
      <c r="L22" s="31" t="inlineStr">
        <is>
          <t>异常48小时可定义</t>
        </is>
      </c>
      <c r="M22" s="31" t="inlineStr">
        <is>
          <t>标签、规则或代理真值可写成测试</t>
        </is>
      </c>
      <c r="N22" s="31" t="inlineStr">
        <is>
          <t>失败：只能靠主观感觉判断好坏</t>
        </is>
      </c>
    </row>
    <row r="23">
      <c r="K23" s="31" t="inlineStr">
        <is>
          <t>G3</t>
        </is>
      </c>
      <c r="L23" s="31" t="inlineStr">
        <is>
          <t>前72h最小链路</t>
        </is>
      </c>
      <c r="M23" s="31" t="inlineStr">
        <is>
          <t>数据输入→模型判断→可见结果可运行；不是完成整个产品</t>
        </is>
      </c>
      <c r="N23" s="31" t="inlineStr">
        <is>
          <t>失败：关键路径依赖赛期外工作</t>
        </is>
      </c>
    </row>
    <row r="24">
      <c r="K24" s="31" t="inlineStr">
        <is>
          <t>G4</t>
        </is>
      </c>
      <c r="L24" s="31" t="inlineStr">
        <is>
          <t>核心闭环≤90秒</t>
        </is>
      </c>
      <c r="M24" s="31" t="inlineStr">
        <is>
          <t>固定回放能在90秒内展示异常→判断→行动→结果；不是整场路演时长</t>
        </is>
      </c>
      <c r="N24" s="31" t="inlineStr">
        <is>
          <t>失败：依赖不可控直播或临场输入</t>
        </is>
      </c>
    </row>
    <row r="25">
      <c r="K25" s="31" t="inlineStr">
        <is>
          <t>G5</t>
        </is>
      </c>
      <c r="L25" s="31" t="inlineStr">
        <is>
          <t>Spark技术路径</t>
        </is>
      </c>
      <c r="M25" s="31" t="inlineStr">
        <is>
          <t>aarch64、模型、内存和运行时有方案</t>
        </is>
      </c>
      <c r="N25" s="31" t="inlineStr">
        <is>
          <t>失败：没有可运行模型或可靠降级</t>
        </is>
      </c>
    </row>
    <row r="26">
      <c r="K26" s="32" t="inlineStr">
        <is>
          <t>G6</t>
        </is>
      </c>
      <c r="L26" s="32" t="inlineStr">
        <is>
          <t>安全与责任边界</t>
        </is>
      </c>
      <c r="M26" s="32" t="inlineStr">
        <is>
          <t>隐私、误报、人工确认和禁止动作明确</t>
        </is>
      </c>
      <c r="N26" s="32" t="inlineStr">
        <is>
          <t>失败：不可接受法律/安全风险</t>
        </is>
      </c>
    </row>
  </sheetData>
  <mergeCells count="4">
    <mergeCell ref="A17:C17"/>
    <mergeCell ref="A1:N1"/>
    <mergeCell ref="A2:N2"/>
    <mergeCell ref="K20:N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18" customWidth="1" min="4" max="4"/>
    <col width="19" customWidth="1" min="5" max="5"/>
    <col width="21" customWidth="1" min="6" max="6"/>
    <col width="27" customWidth="1" min="7" max="7"/>
    <col width="30" customWidth="1" min="8" max="8"/>
    <col width="32" customWidth="1" min="9" max="9"/>
    <col width="3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0" customWidth="1" min="24" max="24"/>
    <col width="12" customWidth="1" min="25" max="25"/>
    <col width="13" customWidth="1" min="26" max="26"/>
    <col width="15" customWidth="1" min="27" max="27"/>
    <col width="8" customWidth="1" min="28" max="28"/>
    <col width="15" customWidth="1" min="29" max="29"/>
    <col width="32" customWidth="1" min="30" max="30"/>
  </cols>
  <sheetData>
    <row r="1" ht="34" customHeight="1">
      <c r="A1" s="4" t="inlineStr">
        <is>
          <t>项目清单与团队汇总</t>
        </is>
      </c>
    </row>
    <row r="2" ht="30" customHeight="1">
      <c r="A2" s="9" t="inlineStr">
        <is>
          <t>黄色为输入；蓝灰为公式。先填写A–P，再由团队在“会议评分”逐项形成一个共识分，并在“证据索引”登记依据。前三行是可覆盖的演示数据。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X2" s="144" t="n"/>
      <c r="Y2" s="144" t="n"/>
      <c r="Z2" s="144" t="n"/>
      <c r="AA2" s="144" t="n"/>
      <c r="AB2" s="144" t="n"/>
      <c r="AC2" s="144" t="n"/>
      <c r="AD2" s="144" t="n"/>
    </row>
    <row r="4" ht="32" customHeight="1">
      <c r="A4" s="23" t="inlineStr">
        <is>
          <t>项目ID</t>
        </is>
      </c>
      <c r="B4" s="24" t="inlineStr">
        <is>
          <t>项目名称</t>
        </is>
      </c>
      <c r="C4" s="24" t="inlineStr">
        <is>
          <t>一句话场景</t>
        </is>
      </c>
      <c r="D4" s="24" t="inlineStr">
        <is>
          <t>目标用户</t>
        </is>
      </c>
      <c r="E4" s="24" t="inlineStr">
        <is>
          <t>付费者/采购方</t>
        </is>
      </c>
      <c r="F4" s="24" t="inlineStr">
        <is>
          <t>商业化路径</t>
        </is>
      </c>
      <c r="G4" s="24" t="inlineStr">
        <is>
          <t>可信数据来源</t>
        </is>
      </c>
      <c r="H4" s="24" t="inlineStr">
        <is>
          <t>可验证异常/目标</t>
        </is>
      </c>
      <c r="I4" s="24" t="inlineStr">
        <is>
          <t>核心闭环≤90秒</t>
        </is>
      </c>
      <c r="J4" s="24" t="inlineStr">
        <is>
          <t>Spark不可替代性</t>
        </is>
      </c>
      <c r="K4" s="24" t="inlineStr">
        <is>
          <t>G1 数据48h</t>
        </is>
      </c>
      <c r="L4" s="24" t="inlineStr">
        <is>
          <t>G2 异常定义</t>
        </is>
      </c>
      <c r="M4" s="24" t="inlineStr">
        <is>
          <t>G3 前72h链路</t>
        </is>
      </c>
      <c r="N4" s="24" t="inlineStr">
        <is>
          <t>G4 90秒闭环</t>
        </is>
      </c>
      <c r="O4" s="24" t="inlineStr">
        <is>
          <t>G5 Spark路径</t>
        </is>
      </c>
      <c r="P4" s="24" t="inlineStr">
        <is>
          <t>G6 安全边界</t>
        </is>
      </c>
      <c r="Q4" s="24" t="inlineStr">
        <is>
          <t>门槛结果</t>
        </is>
      </c>
      <c r="R4" s="24" t="inlineStr">
        <is>
          <t>产品商业</t>
        </is>
      </c>
      <c r="S4" s="24" t="inlineStr">
        <is>
          <t>场景实用</t>
        </is>
      </c>
      <c r="T4" s="24" t="inlineStr">
        <is>
          <t>Spark竞赛</t>
        </is>
      </c>
      <c r="U4" s="24" t="inlineStr">
        <is>
          <t>演示闭环</t>
        </is>
      </c>
      <c r="V4" s="24" t="inlineStr">
        <is>
          <t>数据评估</t>
        </is>
      </c>
      <c r="W4" s="24" t="inlineStr">
        <is>
          <t>交付风险</t>
        </is>
      </c>
      <c r="X4" s="24" t="inlineStr">
        <is>
          <t>总分</t>
        </is>
      </c>
      <c r="Y4" s="24" t="inlineStr">
        <is>
          <t>证据强度</t>
        </is>
      </c>
      <c r="Z4" s="24" t="inlineStr">
        <is>
          <t>评分完整度</t>
        </is>
      </c>
      <c r="AA4" s="24" t="inlineStr">
        <is>
          <t>会议状态</t>
        </is>
      </c>
      <c r="AB4" s="24" t="inlineStr">
        <is>
          <t>排名</t>
        </is>
      </c>
      <c r="AC4" s="24" t="inlineStr">
        <is>
          <t>建议</t>
        </is>
      </c>
      <c r="AD4" s="25" t="inlineStr">
        <is>
          <t>下一步实验</t>
        </is>
      </c>
    </row>
    <row r="5" ht="72" customHeight="1">
      <c r="A5" s="99" t="inlineStr">
        <is>
          <t>P01</t>
        </is>
      </c>
      <c r="B5" s="90" t="inlineStr">
        <is>
          <t>示例｜港口多模态异常值守</t>
        </is>
      </c>
      <c r="C5" s="90" t="inlineStr">
        <is>
          <t>值守员同时看到AIS、视频与气象，在60秒内识别异常靠近并确认处置</t>
        </is>
      </c>
      <c r="D5" s="90" t="inlineStr">
        <is>
          <t>港口调度与安全值守</t>
        </is>
      </c>
      <c r="E5" s="90" t="inlineStr">
        <is>
          <t>港口运营方、海事监管</t>
        </is>
      </c>
      <c r="F5" s="90" t="inlineStr">
        <is>
          <t>边缘安全设备 + 年服务</t>
        </is>
      </c>
      <c r="G5" s="90" t="inlineStr">
        <is>
          <t>AIS回放、公开视频、气象样本（待核实）</t>
        </is>
      </c>
      <c r="H5" s="90" t="inlineStr">
        <is>
          <t>无AIS目标进入禁区；轨迹与视频不一致</t>
        </is>
      </c>
      <c r="I5" s="90" t="inlineStr">
        <is>
          <t>回放→检测→跨模态校验→分级→处置确认</t>
        </is>
      </c>
      <c r="J5" s="90" t="inlineStr">
        <is>
          <t>敏感视频不出站；断网仍判断；多模型本地运行</t>
        </is>
      </c>
      <c r="K5" s="90" t="inlineStr">
        <is>
          <t>待验证</t>
        </is>
      </c>
      <c r="L5" s="90" t="inlineStr">
        <is>
          <t>通过</t>
        </is>
      </c>
      <c r="M5" s="90" t="inlineStr">
        <is>
          <t>通过</t>
        </is>
      </c>
      <c r="N5" s="90" t="inlineStr">
        <is>
          <t>通过</t>
        </is>
      </c>
      <c r="O5" s="90" t="inlineStr">
        <is>
          <t>待验证</t>
        </is>
      </c>
      <c r="P5" s="90" t="inlineStr">
        <is>
          <t>通过</t>
        </is>
      </c>
      <c r="Q5" s="93">
        <f>IF(B5="","",IF(COUNTIF(K5:P5,"失败")&gt;0,"淘汰",IF(COUNTIF(K5:P5,"待验证")&gt;0,"待验证","通过")))</f>
        <v/>
      </c>
      <c r="R5" s="159">
        <f>IF(B5="","",IFERROR(INDEX('会议评分'!$O$5:$O$14,MATCH($A5,'会议评分'!$A$5:$A$14,0)),""))</f>
        <v/>
      </c>
      <c r="S5" s="159">
        <f>IF(B5="","",IFERROR(INDEX('会议评分'!$P$5:$P$14,MATCH($A5,'会议评分'!$A$5:$A$14,0)),""))</f>
        <v/>
      </c>
      <c r="T5" s="159">
        <f>IF(B5="","",IFERROR(INDEX('会议评分'!$Q$5:$Q$14,MATCH($A5,'会议评分'!$A$5:$A$14,0)),""))</f>
        <v/>
      </c>
      <c r="U5" s="159">
        <f>IF(B5="","",IFERROR(INDEX('会议评分'!$R$5:$R$14,MATCH($A5,'会议评分'!$A$5:$A$14,0)),""))</f>
        <v/>
      </c>
      <c r="V5" s="159">
        <f>IF(B5="","",IFERROR(INDEX('会议评分'!$S$5:$S$14,MATCH($A5,'会议评分'!$A$5:$A$14,0)),""))</f>
        <v/>
      </c>
      <c r="W5" s="159">
        <f>IF(B5="","",IFERROR(INDEX('会议评分'!$T$5:$T$14,MATCH($A5,'会议评分'!$A$5:$A$14,0)),""))</f>
        <v/>
      </c>
      <c r="X5" s="159">
        <f>IF(B5="","",IFERROR(INDEX('会议评分'!$U$5:$U$14,MATCH($A5,'会议评分'!$A$5:$A$14,0)),""))</f>
        <v/>
      </c>
      <c r="Y5" s="160">
        <f>IF(B5="","",IFERROR(AVERAGEIF('证据索引'!$A$5:$A$124,$A5,'证据索引'!$I$5:$I$124),0))</f>
        <v/>
      </c>
      <c r="Z5" s="160">
        <f>IF(B5="","",IFERROR(INDEX('会议评分'!$V$5:$V$14,MATCH($A5,'会议评分'!$A$5:$A$14,0)),0))</f>
        <v/>
      </c>
      <c r="AA5" s="93">
        <f>IF(B5="","",IFERROR(INDEX('会议评分'!$B$5:$B$14,MATCH($A5,'会议评分'!$A$5:$A$14,0)),"未评"))</f>
        <v/>
      </c>
      <c r="AB5" s="161">
        <f>IF(B5="","",COUNTIF($X$5:$X$14,"&gt;"&amp;X5)+COUNTIF($X$5:X5,X5))</f>
        <v/>
      </c>
      <c r="AC5" s="93">
        <f>IF(B5="","",IF(Q5="淘汰","淘汰",IF(Z5&gt;='参数与锚点'!$L$17,IF(AA5="已达成共识",IF(Q5="待验证",IF(X5&gt;='参数与锚点'!$L$15,"进入24h验证","放弃"),IF(AND(X5&gt;='参数与锚点'!$L$12,Y5&gt;='参数与锚点'!$L$13),"优先",IF(X5&gt;='参数与锚点'!$L$14,"进入24h验证",IF(X5&gt;='参数与锚点'!$L$16,"备选","放弃")))),"会议待完成"),"会议待完成")))</f>
        <v/>
      </c>
      <c r="AD5" s="93" t="inlineStr">
        <is>
          <t>确认可合法下载的数据；在Spark上验证两条模型路径与内存预算</t>
        </is>
      </c>
    </row>
    <row r="6" ht="72" customHeight="1">
      <c r="A6" s="100" t="inlineStr">
        <is>
          <t>P02</t>
        </is>
      </c>
      <c r="B6" s="91" t="inlineStr">
        <is>
          <t>示例｜船员疲劳与跌倒预警</t>
        </is>
      </c>
      <c r="C6" s="91" t="inlineStr">
        <is>
          <t>在驾驶台本地识别疲劳、跌倒与呼救，并向值班负责人升级</t>
        </is>
      </c>
      <c r="D6" s="91" t="inlineStr">
        <is>
          <t>船员、船长与安全主管</t>
        </is>
      </c>
      <c r="E6" s="91" t="inlineStr">
        <is>
          <t>船运公司、船舶管理方</t>
        </is>
      </c>
      <c r="F6" s="91" t="inlineStr">
        <is>
          <t>船载安全系统 + 合规服务</t>
        </is>
      </c>
      <c r="G6" s="91" t="inlineStr">
        <is>
          <t>公开视频、姿态样本、合成音频（待核实）</t>
        </is>
      </c>
      <c r="H6" s="91" t="inlineStr">
        <is>
          <t>闭眼/姿态异常持续阈值；跌倒后无恢复动作</t>
        </is>
      </c>
      <c r="I6" s="91" t="inlineStr">
        <is>
          <t>视频/音频→风险融合→提示→人工确认</t>
        </is>
      </c>
      <c r="J6" s="91" t="inlineStr">
        <is>
          <t>船上断网；隐私音视频；低延迟值守</t>
        </is>
      </c>
      <c r="K6" s="91" t="inlineStr">
        <is>
          <t>待验证</t>
        </is>
      </c>
      <c r="L6" s="91" t="inlineStr">
        <is>
          <t>通过</t>
        </is>
      </c>
      <c r="M6" s="91" t="inlineStr">
        <is>
          <t>通过</t>
        </is>
      </c>
      <c r="N6" s="91" t="inlineStr">
        <is>
          <t>通过</t>
        </is>
      </c>
      <c r="O6" s="91" t="inlineStr">
        <is>
          <t>待验证</t>
        </is>
      </c>
      <c r="P6" s="91" t="inlineStr">
        <is>
          <t>待验证</t>
        </is>
      </c>
      <c r="Q6" s="94">
        <f>IF(B6="","",IF(COUNTIF(K6:P6,"失败")&gt;0,"淘汰",IF(COUNTIF(K6:P6,"待验证")&gt;0,"待验证","通过")))</f>
        <v/>
      </c>
      <c r="R6" s="162">
        <f>IF(B6="","",IFERROR(INDEX('会议评分'!$O$5:$O$14,MATCH($A6,'会议评分'!$A$5:$A$14,0)),""))</f>
        <v/>
      </c>
      <c r="S6" s="162">
        <f>IF(B6="","",IFERROR(INDEX('会议评分'!$P$5:$P$14,MATCH($A6,'会议评分'!$A$5:$A$14,0)),""))</f>
        <v/>
      </c>
      <c r="T6" s="162">
        <f>IF(B6="","",IFERROR(INDEX('会议评分'!$Q$5:$Q$14,MATCH($A6,'会议评分'!$A$5:$A$14,0)),""))</f>
        <v/>
      </c>
      <c r="U6" s="162">
        <f>IF(B6="","",IFERROR(INDEX('会议评分'!$R$5:$R$14,MATCH($A6,'会议评分'!$A$5:$A$14,0)),""))</f>
        <v/>
      </c>
      <c r="V6" s="162">
        <f>IF(B6="","",IFERROR(INDEX('会议评分'!$S$5:$S$14,MATCH($A6,'会议评分'!$A$5:$A$14,0)),""))</f>
        <v/>
      </c>
      <c r="W6" s="162">
        <f>IF(B6="","",IFERROR(INDEX('会议评分'!$T$5:$T$14,MATCH($A6,'会议评分'!$A$5:$A$14,0)),""))</f>
        <v/>
      </c>
      <c r="X6" s="162">
        <f>IF(B6="","",IFERROR(INDEX('会议评分'!$U$5:$U$14,MATCH($A6,'会议评分'!$A$5:$A$14,0)),""))</f>
        <v/>
      </c>
      <c r="Y6" s="163">
        <f>IF(B6="","",IFERROR(AVERAGEIF('证据索引'!$A$5:$A$124,$A6,'证据索引'!$I$5:$I$124),0))</f>
        <v/>
      </c>
      <c r="Z6" s="163">
        <f>IF(B6="","",IFERROR(INDEX('会议评分'!$V$5:$V$14,MATCH($A6,'会议评分'!$A$5:$A$14,0)),0))</f>
        <v/>
      </c>
      <c r="AA6" s="94">
        <f>IF(B6="","",IFERROR(INDEX('会议评分'!$B$5:$B$14,MATCH($A6,'会议评分'!$A$5:$A$14,0)),"未评"))</f>
        <v/>
      </c>
      <c r="AB6" s="164">
        <f>IF(B6="","",COUNTIF($X$5:$X$14,"&gt;"&amp;X6)+COUNTIF($X$5:X6,X6))</f>
        <v/>
      </c>
      <c r="AC6" s="94">
        <f>IF(B6="","",IF(Q6="淘汰","淘汰",IF(Z6&gt;='参数与锚点'!$L$17,IF(AA6="已达成共识",IF(Q6="待验证",IF(X6&gt;='参数与锚点'!$L$15,"进入24h验证","放弃"),IF(AND(X6&gt;='参数与锚点'!$L$12,Y6&gt;='参数与锚点'!$L$13),"优先",IF(X6&gt;='参数与锚点'!$L$14,"进入24h验证",IF(X6&gt;='参数与锚点'!$L$16,"备选","放弃")))),"会议待完成"),"会议待完成")))</f>
        <v/>
      </c>
      <c r="AD6" s="94" t="inlineStr">
        <is>
          <t>锁定跌倒/疲劳标注规范；验证姿态与音频融合是否降低误报</t>
        </is>
      </c>
    </row>
    <row r="7" ht="72" customHeight="1">
      <c r="A7" s="100" t="inlineStr">
        <is>
          <t>P03</t>
        </is>
      </c>
      <c r="B7" s="91" t="inlineStr">
        <is>
          <t>示例｜海事事故证据复盘助手</t>
        </is>
      </c>
      <c r="C7" s="91" t="inlineStr">
        <is>
          <t>把AIS、日志、视频与气象合成可审计时间线并解释关键决策点</t>
        </is>
      </c>
      <c r="D7" s="91" t="inlineStr">
        <is>
          <t>事故调查员、保险与安全团队</t>
        </is>
      </c>
      <c r="E7" s="91" t="inlineStr">
        <is>
          <t>监管、船东、保险机构</t>
        </is>
      </c>
      <c r="F7" s="91" t="inlineStr">
        <is>
          <t>调查工作台 + 企业许可</t>
        </is>
      </c>
      <c r="G7" s="91" t="inlineStr">
        <is>
          <t>事故报告、AIS与气象历史数据（待核实）</t>
        </is>
      </c>
      <c r="H7" s="91" t="inlineStr">
        <is>
          <t>轨迹偏离、规则冲突、时间线证据缺口</t>
        </is>
      </c>
      <c r="I7" s="91" t="inlineStr">
        <is>
          <t>导入→时间对齐→异常节点→证据引用→复盘结论</t>
        </is>
      </c>
      <c r="J7" s="91" t="inlineStr">
        <is>
          <t>敏感事故材料本地处理；大上下文与多模态</t>
        </is>
      </c>
      <c r="K7" s="91" t="inlineStr">
        <is>
          <t>待验证</t>
        </is>
      </c>
      <c r="L7" s="91" t="inlineStr">
        <is>
          <t>通过</t>
        </is>
      </c>
      <c r="M7" s="91" t="inlineStr">
        <is>
          <t>通过</t>
        </is>
      </c>
      <c r="N7" s="91" t="inlineStr">
        <is>
          <t>通过</t>
        </is>
      </c>
      <c r="O7" s="91" t="inlineStr">
        <is>
          <t>待验证</t>
        </is>
      </c>
      <c r="P7" s="91" t="inlineStr">
        <is>
          <t>通过</t>
        </is>
      </c>
      <c r="Q7" s="94">
        <f>IF(B7="","",IF(COUNTIF(K7:P7,"失败")&gt;0,"淘汰",IF(COUNTIF(K7:P7,"待验证")&gt;0,"待验证","通过")))</f>
        <v/>
      </c>
      <c r="R7" s="162">
        <f>IF(B7="","",IFERROR(INDEX('会议评分'!$O$5:$O$14,MATCH($A7,'会议评分'!$A$5:$A$14,0)),""))</f>
        <v/>
      </c>
      <c r="S7" s="162">
        <f>IF(B7="","",IFERROR(INDEX('会议评分'!$P$5:$P$14,MATCH($A7,'会议评分'!$A$5:$A$14,0)),""))</f>
        <v/>
      </c>
      <c r="T7" s="162">
        <f>IF(B7="","",IFERROR(INDEX('会议评分'!$Q$5:$Q$14,MATCH($A7,'会议评分'!$A$5:$A$14,0)),""))</f>
        <v/>
      </c>
      <c r="U7" s="162">
        <f>IF(B7="","",IFERROR(INDEX('会议评分'!$R$5:$R$14,MATCH($A7,'会议评分'!$A$5:$A$14,0)),""))</f>
        <v/>
      </c>
      <c r="V7" s="162">
        <f>IF(B7="","",IFERROR(INDEX('会议评分'!$S$5:$S$14,MATCH($A7,'会议评分'!$A$5:$A$14,0)),""))</f>
        <v/>
      </c>
      <c r="W7" s="162">
        <f>IF(B7="","",IFERROR(INDEX('会议评分'!$T$5:$T$14,MATCH($A7,'会议评分'!$A$5:$A$14,0)),""))</f>
        <v/>
      </c>
      <c r="X7" s="162">
        <f>IF(B7="","",IFERROR(INDEX('会议评分'!$U$5:$U$14,MATCH($A7,'会议评分'!$A$5:$A$14,0)),""))</f>
        <v/>
      </c>
      <c r="Y7" s="163">
        <f>IF(B7="","",IFERROR(AVERAGEIF('证据索引'!$A$5:$A$124,$A7,'证据索引'!$I$5:$I$124),0))</f>
        <v/>
      </c>
      <c r="Z7" s="163">
        <f>IF(B7="","",IFERROR(INDEX('会议评分'!$V$5:$V$14,MATCH($A7,'会议评分'!$A$5:$A$14,0)),0))</f>
        <v/>
      </c>
      <c r="AA7" s="94">
        <f>IF(B7="","",IFERROR(INDEX('会议评分'!$B$5:$B$14,MATCH($A7,'会议评分'!$A$5:$A$14,0)),"未评"))</f>
        <v/>
      </c>
      <c r="AB7" s="164">
        <f>IF(B7="","",COUNTIF($X$5:$X$14,"&gt;"&amp;X7)+COUNTIF($X$5:X7,X7))</f>
        <v/>
      </c>
      <c r="AC7" s="94">
        <f>IF(B7="","",IF(Q7="淘汰","淘汰",IF(Z7&gt;='参数与锚点'!$L$17,IF(AA7="已达成共识",IF(Q7="待验证",IF(X7&gt;='参数与锚点'!$L$15,"进入24h验证","放弃"),IF(AND(X7&gt;='参数与锚点'!$L$12,Y7&gt;='参数与锚点'!$L$13),"优先",IF(X7&gt;='参数与锚点'!$L$14,"进入24h验证",IF(X7&gt;='参数与锚点'!$L$16,"备选","放弃")))),"会议待完成"),"会议待完成")))</f>
        <v/>
      </c>
      <c r="AD7" s="94" t="inlineStr">
        <is>
          <t>确认事故数据许可；做一条可复现的时间线异常基线</t>
        </is>
      </c>
    </row>
    <row r="8" ht="72" customHeight="1">
      <c r="A8" s="100" t="inlineStr">
        <is>
          <t>P04</t>
        </is>
      </c>
      <c r="B8" s="91" t="str"/>
      <c r="C8" s="91" t="str"/>
      <c r="D8" s="91" t="str"/>
      <c r="E8" s="91" t="str"/>
      <c r="F8" s="91" t="str"/>
      <c r="G8" s="91" t="str"/>
      <c r="H8" s="91" t="str"/>
      <c r="I8" s="91" t="str"/>
      <c r="J8" s="91" t="str"/>
      <c r="K8" s="91" t="inlineStr">
        <is>
          <t>待验证</t>
        </is>
      </c>
      <c r="L8" s="91" t="inlineStr">
        <is>
          <t>待验证</t>
        </is>
      </c>
      <c r="M8" s="91" t="inlineStr">
        <is>
          <t>待验证</t>
        </is>
      </c>
      <c r="N8" s="91" t="inlineStr">
        <is>
          <t>待验证</t>
        </is>
      </c>
      <c r="O8" s="91" t="inlineStr">
        <is>
          <t>待验证</t>
        </is>
      </c>
      <c r="P8" s="91" t="inlineStr">
        <is>
          <t>待验证</t>
        </is>
      </c>
      <c r="Q8" s="94">
        <f>IF(B8="","",IF(COUNTIF(K8:P8,"失败")&gt;0,"淘汰",IF(COUNTIF(K8:P8,"待验证")&gt;0,"待验证","通过")))</f>
        <v/>
      </c>
      <c r="R8" s="162">
        <f>IF(B8="","",IFERROR(INDEX('会议评分'!$O$5:$O$14,MATCH($A8,'会议评分'!$A$5:$A$14,0)),""))</f>
        <v/>
      </c>
      <c r="S8" s="162">
        <f>IF(B8="","",IFERROR(INDEX('会议评分'!$P$5:$P$14,MATCH($A8,'会议评分'!$A$5:$A$14,0)),""))</f>
        <v/>
      </c>
      <c r="T8" s="162">
        <f>IF(B8="","",IFERROR(INDEX('会议评分'!$Q$5:$Q$14,MATCH($A8,'会议评分'!$A$5:$A$14,0)),""))</f>
        <v/>
      </c>
      <c r="U8" s="162">
        <f>IF(B8="","",IFERROR(INDEX('会议评分'!$R$5:$R$14,MATCH($A8,'会议评分'!$A$5:$A$14,0)),""))</f>
        <v/>
      </c>
      <c r="V8" s="162">
        <f>IF(B8="","",IFERROR(INDEX('会议评分'!$S$5:$S$14,MATCH($A8,'会议评分'!$A$5:$A$14,0)),""))</f>
        <v/>
      </c>
      <c r="W8" s="162">
        <f>IF(B8="","",IFERROR(INDEX('会议评分'!$T$5:$T$14,MATCH($A8,'会议评分'!$A$5:$A$14,0)),""))</f>
        <v/>
      </c>
      <c r="X8" s="162">
        <f>IF(B8="","",IFERROR(INDEX('会议评分'!$U$5:$U$14,MATCH($A8,'会议评分'!$A$5:$A$14,0)),""))</f>
        <v/>
      </c>
      <c r="Y8" s="163">
        <f>IF(B8="","",IFERROR(AVERAGEIF('证据索引'!$A$5:$A$124,$A8,'证据索引'!$I$5:$I$124),0))</f>
        <v/>
      </c>
      <c r="Z8" s="163">
        <f>IF(B8="","",IFERROR(INDEX('会议评分'!$V$5:$V$14,MATCH($A8,'会议评分'!$A$5:$A$14,0)),0))</f>
        <v/>
      </c>
      <c r="AA8" s="94">
        <f>IF(B8="","",IFERROR(INDEX('会议评分'!$B$5:$B$14,MATCH($A8,'会议评分'!$A$5:$A$14,0)),"未评"))</f>
        <v/>
      </c>
      <c r="AB8" s="164">
        <f>IF(B8="","",COUNTIF($X$5:$X$14,"&gt;"&amp;X8)+COUNTIF($X$5:X8,X8))</f>
        <v/>
      </c>
      <c r="AC8" s="94">
        <f>IF(B8="","",IF(Q8="淘汰","淘汰",IF(Z8&gt;='参数与锚点'!$L$17,IF(AA8="已达成共识",IF(Q8="待验证",IF(X8&gt;='参数与锚点'!$L$15,"进入24h验证","放弃"),IF(AND(X8&gt;='参数与锚点'!$L$12,Y8&gt;='参数与锚点'!$L$13),"优先",IF(X8&gt;='参数与锚点'!$L$14,"进入24h验证",IF(X8&gt;='参数与锚点'!$L$16,"备选","放弃")))),"会议待完成"),"会议待完成")))</f>
        <v/>
      </c>
      <c r="AD8" s="94" t="n"/>
    </row>
    <row r="9" ht="72" customHeight="1">
      <c r="A9" s="100" t="inlineStr">
        <is>
          <t>P05</t>
        </is>
      </c>
      <c r="B9" s="91" t="str"/>
      <c r="C9" s="91" t="str"/>
      <c r="D9" s="91" t="str"/>
      <c r="E9" s="91" t="str"/>
      <c r="F9" s="91" t="str"/>
      <c r="G9" s="91" t="str"/>
      <c r="H9" s="91" t="str"/>
      <c r="I9" s="91" t="str"/>
      <c r="J9" s="91" t="str"/>
      <c r="K9" s="91" t="inlineStr">
        <is>
          <t>待验证</t>
        </is>
      </c>
      <c r="L9" s="91" t="inlineStr">
        <is>
          <t>待验证</t>
        </is>
      </c>
      <c r="M9" s="91" t="inlineStr">
        <is>
          <t>待验证</t>
        </is>
      </c>
      <c r="N9" s="91" t="inlineStr">
        <is>
          <t>待验证</t>
        </is>
      </c>
      <c r="O9" s="91" t="inlineStr">
        <is>
          <t>待验证</t>
        </is>
      </c>
      <c r="P9" s="91" t="inlineStr">
        <is>
          <t>待验证</t>
        </is>
      </c>
      <c r="Q9" s="94">
        <f>IF(B9="","",IF(COUNTIF(K9:P9,"失败")&gt;0,"淘汰",IF(COUNTIF(K9:P9,"待验证")&gt;0,"待验证","通过")))</f>
        <v/>
      </c>
      <c r="R9" s="162">
        <f>IF(B9="","",IFERROR(INDEX('会议评分'!$O$5:$O$14,MATCH($A9,'会议评分'!$A$5:$A$14,0)),""))</f>
        <v/>
      </c>
      <c r="S9" s="162">
        <f>IF(B9="","",IFERROR(INDEX('会议评分'!$P$5:$P$14,MATCH($A9,'会议评分'!$A$5:$A$14,0)),""))</f>
        <v/>
      </c>
      <c r="T9" s="162">
        <f>IF(B9="","",IFERROR(INDEX('会议评分'!$Q$5:$Q$14,MATCH($A9,'会议评分'!$A$5:$A$14,0)),""))</f>
        <v/>
      </c>
      <c r="U9" s="162">
        <f>IF(B9="","",IFERROR(INDEX('会议评分'!$R$5:$R$14,MATCH($A9,'会议评分'!$A$5:$A$14,0)),""))</f>
        <v/>
      </c>
      <c r="V9" s="162">
        <f>IF(B9="","",IFERROR(INDEX('会议评分'!$S$5:$S$14,MATCH($A9,'会议评分'!$A$5:$A$14,0)),""))</f>
        <v/>
      </c>
      <c r="W9" s="162">
        <f>IF(B9="","",IFERROR(INDEX('会议评分'!$T$5:$T$14,MATCH($A9,'会议评分'!$A$5:$A$14,0)),""))</f>
        <v/>
      </c>
      <c r="X9" s="162">
        <f>IF(B9="","",IFERROR(INDEX('会议评分'!$U$5:$U$14,MATCH($A9,'会议评分'!$A$5:$A$14,0)),""))</f>
        <v/>
      </c>
      <c r="Y9" s="163">
        <f>IF(B9="","",IFERROR(AVERAGEIF('证据索引'!$A$5:$A$124,$A9,'证据索引'!$I$5:$I$124),0))</f>
        <v/>
      </c>
      <c r="Z9" s="163">
        <f>IF(B9="","",IFERROR(INDEX('会议评分'!$V$5:$V$14,MATCH($A9,'会议评分'!$A$5:$A$14,0)),0))</f>
        <v/>
      </c>
      <c r="AA9" s="94">
        <f>IF(B9="","",IFERROR(INDEX('会议评分'!$B$5:$B$14,MATCH($A9,'会议评分'!$A$5:$A$14,0)),"未评"))</f>
        <v/>
      </c>
      <c r="AB9" s="164">
        <f>IF(B9="","",COUNTIF($X$5:$X$14,"&gt;"&amp;X9)+COUNTIF($X$5:X9,X9))</f>
        <v/>
      </c>
      <c r="AC9" s="94">
        <f>IF(B9="","",IF(Q9="淘汰","淘汰",IF(Z9&gt;='参数与锚点'!$L$17,IF(AA9="已达成共识",IF(Q9="待验证",IF(X9&gt;='参数与锚点'!$L$15,"进入24h验证","放弃"),IF(AND(X9&gt;='参数与锚点'!$L$12,Y9&gt;='参数与锚点'!$L$13),"优先",IF(X9&gt;='参数与锚点'!$L$14,"进入24h验证",IF(X9&gt;='参数与锚点'!$L$16,"备选","放弃")))),"会议待完成"),"会议待完成")))</f>
        <v/>
      </c>
      <c r="AD9" s="94" t="n"/>
    </row>
    <row r="10" ht="72" customHeight="1">
      <c r="A10" s="100" t="inlineStr">
        <is>
          <t>P06</t>
        </is>
      </c>
      <c r="B10" s="91" t="str"/>
      <c r="C10" s="91" t="str"/>
      <c r="D10" s="91" t="str"/>
      <c r="E10" s="91" t="str"/>
      <c r="F10" s="91" t="str"/>
      <c r="G10" s="91" t="str"/>
      <c r="H10" s="91" t="str"/>
      <c r="I10" s="91" t="str"/>
      <c r="J10" s="91" t="str"/>
      <c r="K10" s="91" t="inlineStr">
        <is>
          <t>待验证</t>
        </is>
      </c>
      <c r="L10" s="91" t="inlineStr">
        <is>
          <t>待验证</t>
        </is>
      </c>
      <c r="M10" s="91" t="inlineStr">
        <is>
          <t>待验证</t>
        </is>
      </c>
      <c r="N10" s="91" t="inlineStr">
        <is>
          <t>待验证</t>
        </is>
      </c>
      <c r="O10" s="91" t="inlineStr">
        <is>
          <t>待验证</t>
        </is>
      </c>
      <c r="P10" s="91" t="inlineStr">
        <is>
          <t>待验证</t>
        </is>
      </c>
      <c r="Q10" s="94">
        <f>IF(B10="","",IF(COUNTIF(K10:P10,"失败")&gt;0,"淘汰",IF(COUNTIF(K10:P10,"待验证")&gt;0,"待验证","通过")))</f>
        <v/>
      </c>
      <c r="R10" s="162">
        <f>IF(B10="","",IFERROR(INDEX('会议评分'!$O$5:$O$14,MATCH($A10,'会议评分'!$A$5:$A$14,0)),""))</f>
        <v/>
      </c>
      <c r="S10" s="162">
        <f>IF(B10="","",IFERROR(INDEX('会议评分'!$P$5:$P$14,MATCH($A10,'会议评分'!$A$5:$A$14,0)),""))</f>
        <v/>
      </c>
      <c r="T10" s="162">
        <f>IF(B10="","",IFERROR(INDEX('会议评分'!$Q$5:$Q$14,MATCH($A10,'会议评分'!$A$5:$A$14,0)),""))</f>
        <v/>
      </c>
      <c r="U10" s="162">
        <f>IF(B10="","",IFERROR(INDEX('会议评分'!$R$5:$R$14,MATCH($A10,'会议评分'!$A$5:$A$14,0)),""))</f>
        <v/>
      </c>
      <c r="V10" s="162">
        <f>IF(B10="","",IFERROR(INDEX('会议评分'!$S$5:$S$14,MATCH($A10,'会议评分'!$A$5:$A$14,0)),""))</f>
        <v/>
      </c>
      <c r="W10" s="162">
        <f>IF(B10="","",IFERROR(INDEX('会议评分'!$T$5:$T$14,MATCH($A10,'会议评分'!$A$5:$A$14,0)),""))</f>
        <v/>
      </c>
      <c r="X10" s="162">
        <f>IF(B10="","",IFERROR(INDEX('会议评分'!$U$5:$U$14,MATCH($A10,'会议评分'!$A$5:$A$14,0)),""))</f>
        <v/>
      </c>
      <c r="Y10" s="163">
        <f>IF(B10="","",IFERROR(AVERAGEIF('证据索引'!$A$5:$A$124,$A10,'证据索引'!$I$5:$I$124),0))</f>
        <v/>
      </c>
      <c r="Z10" s="163">
        <f>IF(B10="","",IFERROR(INDEX('会议评分'!$V$5:$V$14,MATCH($A10,'会议评分'!$A$5:$A$14,0)),0))</f>
        <v/>
      </c>
      <c r="AA10" s="94">
        <f>IF(B10="","",IFERROR(INDEX('会议评分'!$B$5:$B$14,MATCH($A10,'会议评分'!$A$5:$A$14,0)),"未评"))</f>
        <v/>
      </c>
      <c r="AB10" s="164">
        <f>IF(B10="","",COUNTIF($X$5:$X$14,"&gt;"&amp;X10)+COUNTIF($X$5:X10,X10))</f>
        <v/>
      </c>
      <c r="AC10" s="94">
        <f>IF(B10="","",IF(Q10="淘汰","淘汰",IF(Z10&gt;='参数与锚点'!$L$17,IF(AA10="已达成共识",IF(Q10="待验证",IF(X10&gt;='参数与锚点'!$L$15,"进入24h验证","放弃"),IF(AND(X10&gt;='参数与锚点'!$L$12,Y10&gt;='参数与锚点'!$L$13),"优先",IF(X10&gt;='参数与锚点'!$L$14,"进入24h验证",IF(X10&gt;='参数与锚点'!$L$16,"备选","放弃")))),"会议待完成"),"会议待完成")))</f>
        <v/>
      </c>
      <c r="AD10" s="94" t="n"/>
    </row>
    <row r="11" ht="72" customHeight="1">
      <c r="A11" s="100" t="inlineStr">
        <is>
          <t>P07</t>
        </is>
      </c>
      <c r="B11" s="91" t="str"/>
      <c r="C11" s="91" t="str"/>
      <c r="D11" s="91" t="str"/>
      <c r="E11" s="91" t="str"/>
      <c r="F11" s="91" t="str"/>
      <c r="G11" s="91" t="str"/>
      <c r="H11" s="91" t="str"/>
      <c r="I11" s="91" t="str"/>
      <c r="J11" s="91" t="str"/>
      <c r="K11" s="91" t="inlineStr">
        <is>
          <t>待验证</t>
        </is>
      </c>
      <c r="L11" s="91" t="inlineStr">
        <is>
          <t>待验证</t>
        </is>
      </c>
      <c r="M11" s="91" t="inlineStr">
        <is>
          <t>待验证</t>
        </is>
      </c>
      <c r="N11" s="91" t="inlineStr">
        <is>
          <t>待验证</t>
        </is>
      </c>
      <c r="O11" s="91" t="inlineStr">
        <is>
          <t>待验证</t>
        </is>
      </c>
      <c r="P11" s="91" t="inlineStr">
        <is>
          <t>待验证</t>
        </is>
      </c>
      <c r="Q11" s="94">
        <f>IF(B11="","",IF(COUNTIF(K11:P11,"失败")&gt;0,"淘汰",IF(COUNTIF(K11:P11,"待验证")&gt;0,"待验证","通过")))</f>
        <v/>
      </c>
      <c r="R11" s="162">
        <f>IF(B11="","",IFERROR(INDEX('会议评分'!$O$5:$O$14,MATCH($A11,'会议评分'!$A$5:$A$14,0)),""))</f>
        <v/>
      </c>
      <c r="S11" s="162">
        <f>IF(B11="","",IFERROR(INDEX('会议评分'!$P$5:$P$14,MATCH($A11,'会议评分'!$A$5:$A$14,0)),""))</f>
        <v/>
      </c>
      <c r="T11" s="162">
        <f>IF(B11="","",IFERROR(INDEX('会议评分'!$Q$5:$Q$14,MATCH($A11,'会议评分'!$A$5:$A$14,0)),""))</f>
        <v/>
      </c>
      <c r="U11" s="162">
        <f>IF(B11="","",IFERROR(INDEX('会议评分'!$R$5:$R$14,MATCH($A11,'会议评分'!$A$5:$A$14,0)),""))</f>
        <v/>
      </c>
      <c r="V11" s="162">
        <f>IF(B11="","",IFERROR(INDEX('会议评分'!$S$5:$S$14,MATCH($A11,'会议评分'!$A$5:$A$14,0)),""))</f>
        <v/>
      </c>
      <c r="W11" s="162">
        <f>IF(B11="","",IFERROR(INDEX('会议评分'!$T$5:$T$14,MATCH($A11,'会议评分'!$A$5:$A$14,0)),""))</f>
        <v/>
      </c>
      <c r="X11" s="162">
        <f>IF(B11="","",IFERROR(INDEX('会议评分'!$U$5:$U$14,MATCH($A11,'会议评分'!$A$5:$A$14,0)),""))</f>
        <v/>
      </c>
      <c r="Y11" s="163">
        <f>IF(B11="","",IFERROR(AVERAGEIF('证据索引'!$A$5:$A$124,$A11,'证据索引'!$I$5:$I$124),0))</f>
        <v/>
      </c>
      <c r="Z11" s="163">
        <f>IF(B11="","",IFERROR(INDEX('会议评分'!$V$5:$V$14,MATCH($A11,'会议评分'!$A$5:$A$14,0)),0))</f>
        <v/>
      </c>
      <c r="AA11" s="94">
        <f>IF(B11="","",IFERROR(INDEX('会议评分'!$B$5:$B$14,MATCH($A11,'会议评分'!$A$5:$A$14,0)),"未评"))</f>
        <v/>
      </c>
      <c r="AB11" s="164">
        <f>IF(B11="","",COUNTIF($X$5:$X$14,"&gt;"&amp;X11)+COUNTIF($X$5:X11,X11))</f>
        <v/>
      </c>
      <c r="AC11" s="94">
        <f>IF(B11="","",IF(Q11="淘汰","淘汰",IF(Z11&gt;='参数与锚点'!$L$17,IF(AA11="已达成共识",IF(Q11="待验证",IF(X11&gt;='参数与锚点'!$L$15,"进入24h验证","放弃"),IF(AND(X11&gt;='参数与锚点'!$L$12,Y11&gt;='参数与锚点'!$L$13),"优先",IF(X11&gt;='参数与锚点'!$L$14,"进入24h验证",IF(X11&gt;='参数与锚点'!$L$16,"备选","放弃")))),"会议待完成"),"会议待完成")))</f>
        <v/>
      </c>
      <c r="AD11" s="94" t="n"/>
    </row>
    <row r="12" ht="72" customHeight="1">
      <c r="A12" s="100" t="inlineStr">
        <is>
          <t>P08</t>
        </is>
      </c>
      <c r="B12" s="91" t="str"/>
      <c r="C12" s="91" t="str"/>
      <c r="D12" s="91" t="str"/>
      <c r="E12" s="91" t="str"/>
      <c r="F12" s="91" t="str"/>
      <c r="G12" s="91" t="str"/>
      <c r="H12" s="91" t="str"/>
      <c r="I12" s="91" t="str"/>
      <c r="J12" s="91" t="str"/>
      <c r="K12" s="91" t="inlineStr">
        <is>
          <t>待验证</t>
        </is>
      </c>
      <c r="L12" s="91" t="inlineStr">
        <is>
          <t>待验证</t>
        </is>
      </c>
      <c r="M12" s="91" t="inlineStr">
        <is>
          <t>待验证</t>
        </is>
      </c>
      <c r="N12" s="91" t="inlineStr">
        <is>
          <t>待验证</t>
        </is>
      </c>
      <c r="O12" s="91" t="inlineStr">
        <is>
          <t>待验证</t>
        </is>
      </c>
      <c r="P12" s="91" t="inlineStr">
        <is>
          <t>待验证</t>
        </is>
      </c>
      <c r="Q12" s="94">
        <f>IF(B12="","",IF(COUNTIF(K12:P12,"失败")&gt;0,"淘汰",IF(COUNTIF(K12:P12,"待验证")&gt;0,"待验证","通过")))</f>
        <v/>
      </c>
      <c r="R12" s="162">
        <f>IF(B12="","",IFERROR(INDEX('会议评分'!$O$5:$O$14,MATCH($A12,'会议评分'!$A$5:$A$14,0)),""))</f>
        <v/>
      </c>
      <c r="S12" s="162">
        <f>IF(B12="","",IFERROR(INDEX('会议评分'!$P$5:$P$14,MATCH($A12,'会议评分'!$A$5:$A$14,0)),""))</f>
        <v/>
      </c>
      <c r="T12" s="162">
        <f>IF(B12="","",IFERROR(INDEX('会议评分'!$Q$5:$Q$14,MATCH($A12,'会议评分'!$A$5:$A$14,0)),""))</f>
        <v/>
      </c>
      <c r="U12" s="162">
        <f>IF(B12="","",IFERROR(INDEX('会议评分'!$R$5:$R$14,MATCH($A12,'会议评分'!$A$5:$A$14,0)),""))</f>
        <v/>
      </c>
      <c r="V12" s="162">
        <f>IF(B12="","",IFERROR(INDEX('会议评分'!$S$5:$S$14,MATCH($A12,'会议评分'!$A$5:$A$14,0)),""))</f>
        <v/>
      </c>
      <c r="W12" s="162">
        <f>IF(B12="","",IFERROR(INDEX('会议评分'!$T$5:$T$14,MATCH($A12,'会议评分'!$A$5:$A$14,0)),""))</f>
        <v/>
      </c>
      <c r="X12" s="162">
        <f>IF(B12="","",IFERROR(INDEX('会议评分'!$U$5:$U$14,MATCH($A12,'会议评分'!$A$5:$A$14,0)),""))</f>
        <v/>
      </c>
      <c r="Y12" s="163">
        <f>IF(B12="","",IFERROR(AVERAGEIF('证据索引'!$A$5:$A$124,$A12,'证据索引'!$I$5:$I$124),0))</f>
        <v/>
      </c>
      <c r="Z12" s="163">
        <f>IF(B12="","",IFERROR(INDEX('会议评分'!$V$5:$V$14,MATCH($A12,'会议评分'!$A$5:$A$14,0)),0))</f>
        <v/>
      </c>
      <c r="AA12" s="94">
        <f>IF(B12="","",IFERROR(INDEX('会议评分'!$B$5:$B$14,MATCH($A12,'会议评分'!$A$5:$A$14,0)),"未评"))</f>
        <v/>
      </c>
      <c r="AB12" s="164">
        <f>IF(B12="","",COUNTIF($X$5:$X$14,"&gt;"&amp;X12)+COUNTIF($X$5:X12,X12))</f>
        <v/>
      </c>
      <c r="AC12" s="94">
        <f>IF(B12="","",IF(Q12="淘汰","淘汰",IF(Z12&gt;='参数与锚点'!$L$17,IF(AA12="已达成共识",IF(Q12="待验证",IF(X12&gt;='参数与锚点'!$L$15,"进入24h验证","放弃"),IF(AND(X12&gt;='参数与锚点'!$L$12,Y12&gt;='参数与锚点'!$L$13),"优先",IF(X12&gt;='参数与锚点'!$L$14,"进入24h验证",IF(X12&gt;='参数与锚点'!$L$16,"备选","放弃")))),"会议待完成"),"会议待完成")))</f>
        <v/>
      </c>
      <c r="AD12" s="94" t="n"/>
    </row>
    <row r="13" ht="72" customHeight="1">
      <c r="A13" s="100" t="inlineStr">
        <is>
          <t>P09</t>
        </is>
      </c>
      <c r="B13" s="91" t="str"/>
      <c r="C13" s="91" t="str"/>
      <c r="D13" s="91" t="str"/>
      <c r="E13" s="91" t="str"/>
      <c r="F13" s="91" t="str"/>
      <c r="G13" s="91" t="str"/>
      <c r="H13" s="91" t="str"/>
      <c r="I13" s="91" t="str"/>
      <c r="J13" s="91" t="str"/>
      <c r="K13" s="91" t="inlineStr">
        <is>
          <t>待验证</t>
        </is>
      </c>
      <c r="L13" s="91" t="inlineStr">
        <is>
          <t>待验证</t>
        </is>
      </c>
      <c r="M13" s="91" t="inlineStr">
        <is>
          <t>待验证</t>
        </is>
      </c>
      <c r="N13" s="91" t="inlineStr">
        <is>
          <t>待验证</t>
        </is>
      </c>
      <c r="O13" s="91" t="inlineStr">
        <is>
          <t>待验证</t>
        </is>
      </c>
      <c r="P13" s="91" t="inlineStr">
        <is>
          <t>待验证</t>
        </is>
      </c>
      <c r="Q13" s="94">
        <f>IF(B13="","",IF(COUNTIF(K13:P13,"失败")&gt;0,"淘汰",IF(COUNTIF(K13:P13,"待验证")&gt;0,"待验证","通过")))</f>
        <v/>
      </c>
      <c r="R13" s="162">
        <f>IF(B13="","",IFERROR(INDEX('会议评分'!$O$5:$O$14,MATCH($A13,'会议评分'!$A$5:$A$14,0)),""))</f>
        <v/>
      </c>
      <c r="S13" s="162">
        <f>IF(B13="","",IFERROR(INDEX('会议评分'!$P$5:$P$14,MATCH($A13,'会议评分'!$A$5:$A$14,0)),""))</f>
        <v/>
      </c>
      <c r="T13" s="162">
        <f>IF(B13="","",IFERROR(INDEX('会议评分'!$Q$5:$Q$14,MATCH($A13,'会议评分'!$A$5:$A$14,0)),""))</f>
        <v/>
      </c>
      <c r="U13" s="162">
        <f>IF(B13="","",IFERROR(INDEX('会议评分'!$R$5:$R$14,MATCH($A13,'会议评分'!$A$5:$A$14,0)),""))</f>
        <v/>
      </c>
      <c r="V13" s="162">
        <f>IF(B13="","",IFERROR(INDEX('会议评分'!$S$5:$S$14,MATCH($A13,'会议评分'!$A$5:$A$14,0)),""))</f>
        <v/>
      </c>
      <c r="W13" s="162">
        <f>IF(B13="","",IFERROR(INDEX('会议评分'!$T$5:$T$14,MATCH($A13,'会议评分'!$A$5:$A$14,0)),""))</f>
        <v/>
      </c>
      <c r="X13" s="162">
        <f>IF(B13="","",IFERROR(INDEX('会议评分'!$U$5:$U$14,MATCH($A13,'会议评分'!$A$5:$A$14,0)),""))</f>
        <v/>
      </c>
      <c r="Y13" s="163">
        <f>IF(B13="","",IFERROR(AVERAGEIF('证据索引'!$A$5:$A$124,$A13,'证据索引'!$I$5:$I$124),0))</f>
        <v/>
      </c>
      <c r="Z13" s="163">
        <f>IF(B13="","",IFERROR(INDEX('会议评分'!$V$5:$V$14,MATCH($A13,'会议评分'!$A$5:$A$14,0)),0))</f>
        <v/>
      </c>
      <c r="AA13" s="94">
        <f>IF(B13="","",IFERROR(INDEX('会议评分'!$B$5:$B$14,MATCH($A13,'会议评分'!$A$5:$A$14,0)),"未评"))</f>
        <v/>
      </c>
      <c r="AB13" s="164">
        <f>IF(B13="","",COUNTIF($X$5:$X$14,"&gt;"&amp;X13)+COUNTIF($X$5:X13,X13))</f>
        <v/>
      </c>
      <c r="AC13" s="94">
        <f>IF(B13="","",IF(Q13="淘汰","淘汰",IF(Z13&gt;='参数与锚点'!$L$17,IF(AA13="已达成共识",IF(Q13="待验证",IF(X13&gt;='参数与锚点'!$L$15,"进入24h验证","放弃"),IF(AND(X13&gt;='参数与锚点'!$L$12,Y13&gt;='参数与锚点'!$L$13),"优先",IF(X13&gt;='参数与锚点'!$L$14,"进入24h验证",IF(X13&gt;='参数与锚点'!$L$16,"备选","放弃")))),"会议待完成"),"会议待完成")))</f>
        <v/>
      </c>
      <c r="AD13" s="94" t="n"/>
    </row>
    <row r="14" ht="72" customHeight="1">
      <c r="A14" s="101" t="inlineStr">
        <is>
          <t>P10</t>
        </is>
      </c>
      <c r="B14" s="92" t="str"/>
      <c r="C14" s="92" t="str"/>
      <c r="D14" s="92" t="str"/>
      <c r="E14" s="92" t="str"/>
      <c r="F14" s="92" t="str"/>
      <c r="G14" s="92" t="str"/>
      <c r="H14" s="92" t="str"/>
      <c r="I14" s="92" t="str"/>
      <c r="J14" s="92" t="str"/>
      <c r="K14" s="92" t="inlineStr">
        <is>
          <t>待验证</t>
        </is>
      </c>
      <c r="L14" s="92" t="inlineStr">
        <is>
          <t>待验证</t>
        </is>
      </c>
      <c r="M14" s="92" t="inlineStr">
        <is>
          <t>待验证</t>
        </is>
      </c>
      <c r="N14" s="92" t="inlineStr">
        <is>
          <t>待验证</t>
        </is>
      </c>
      <c r="O14" s="92" t="inlineStr">
        <is>
          <t>待验证</t>
        </is>
      </c>
      <c r="P14" s="92" t="inlineStr">
        <is>
          <t>待验证</t>
        </is>
      </c>
      <c r="Q14" s="95">
        <f>IF(B14="","",IF(COUNTIF(K14:P14,"失败")&gt;0,"淘汰",IF(COUNTIF(K14:P14,"待验证")&gt;0,"待验证","通过")))</f>
        <v/>
      </c>
      <c r="R14" s="165">
        <f>IF(B14="","",IFERROR(INDEX('会议评分'!$O$5:$O$14,MATCH($A14,'会议评分'!$A$5:$A$14,0)),""))</f>
        <v/>
      </c>
      <c r="S14" s="165">
        <f>IF(B14="","",IFERROR(INDEX('会议评分'!$P$5:$P$14,MATCH($A14,'会议评分'!$A$5:$A$14,0)),""))</f>
        <v/>
      </c>
      <c r="T14" s="165">
        <f>IF(B14="","",IFERROR(INDEX('会议评分'!$Q$5:$Q$14,MATCH($A14,'会议评分'!$A$5:$A$14,0)),""))</f>
        <v/>
      </c>
      <c r="U14" s="165">
        <f>IF(B14="","",IFERROR(INDEX('会议评分'!$R$5:$R$14,MATCH($A14,'会议评分'!$A$5:$A$14,0)),""))</f>
        <v/>
      </c>
      <c r="V14" s="165">
        <f>IF(B14="","",IFERROR(INDEX('会议评分'!$S$5:$S$14,MATCH($A14,'会议评分'!$A$5:$A$14,0)),""))</f>
        <v/>
      </c>
      <c r="W14" s="165">
        <f>IF(B14="","",IFERROR(INDEX('会议评分'!$T$5:$T$14,MATCH($A14,'会议评分'!$A$5:$A$14,0)),""))</f>
        <v/>
      </c>
      <c r="X14" s="165">
        <f>IF(B14="","",IFERROR(INDEX('会议评分'!$U$5:$U$14,MATCH($A14,'会议评分'!$A$5:$A$14,0)),""))</f>
        <v/>
      </c>
      <c r="Y14" s="166">
        <f>IF(B14="","",IFERROR(AVERAGEIF('证据索引'!$A$5:$A$124,$A14,'证据索引'!$I$5:$I$124),0))</f>
        <v/>
      </c>
      <c r="Z14" s="166">
        <f>IF(B14="","",IFERROR(INDEX('会议评分'!$V$5:$V$14,MATCH($A14,'会议评分'!$A$5:$A$14,0)),0))</f>
        <v/>
      </c>
      <c r="AA14" s="95">
        <f>IF(B14="","",IFERROR(INDEX('会议评分'!$B$5:$B$14,MATCH($A14,'会议评分'!$A$5:$A$14,0)),"未评"))</f>
        <v/>
      </c>
      <c r="AB14" s="167">
        <f>IF(B14="","",COUNTIF($X$5:$X$14,"&gt;"&amp;X14)+COUNTIF($X$5:X14,X14))</f>
        <v/>
      </c>
      <c r="AC14" s="95">
        <f>IF(B14="","",IF(Q14="淘汰","淘汰",IF(Z14&gt;='参数与锚点'!$L$17,IF(AA14="已达成共识",IF(Q14="待验证",IF(X14&gt;='参数与锚点'!$L$15,"进入24h验证","放弃"),IF(AND(X14&gt;='参数与锚点'!$L$12,Y14&gt;='参数与锚点'!$L$13),"优先",IF(X14&gt;='参数与锚点'!$L$14,"进入24h验证",IF(X14&gt;='参数与锚点'!$L$16,"备选","放弃")))),"会议待完成"),"会议待完成")))</f>
        <v/>
      </c>
      <c r="AD14" s="95" t="n"/>
    </row>
  </sheetData>
  <mergeCells count="2">
    <mergeCell ref="A2:AD2"/>
    <mergeCell ref="A1:AD1"/>
  </mergeCells>
  <conditionalFormatting sqref="X5:X14">
    <cfRule type="dataBar" priority="1">
      <dataBar>
        <cfvo type="min"/>
        <cfvo type="max"/>
        <color rgb="FF1D4ED8"/>
      </dataBar>
    </cfRule>
  </conditionalFormatting>
  <conditionalFormatting sqref="Y5:Y14">
    <cfRule type="dataBar" priority="2">
      <dataBar>
        <cfvo type="min"/>
        <cfvo type="max"/>
        <color rgb="FF0F766E"/>
      </dataBar>
    </cfRule>
  </conditionalFormatting>
  <conditionalFormatting sqref="Q5:Q14">
    <cfRule type="containsText" priority="3" operator="containsText" dxfId="0" text="通过"/>
    <cfRule type="containsText" priority="4" operator="containsText" dxfId="1" text="待验证"/>
    <cfRule type="containsText" priority="5" operator="containsText" dxfId="2" text="淘汰"/>
  </conditionalFormatting>
  <conditionalFormatting sqref="AC5:AC14">
    <cfRule type="containsText" priority="6" operator="containsText" dxfId="0" text="优先"/>
    <cfRule type="containsText" priority="7" operator="containsText" dxfId="1" text="验证"/>
    <cfRule type="containsText" priority="8" operator="containsText" dxfId="1" text="待完成"/>
    <cfRule type="containsText" priority="9" operator="containsText" dxfId="2" text="淘汰"/>
    <cfRule type="containsText" priority="10" operator="containsText" dxfId="2" text="放弃"/>
  </conditionalFormatting>
  <dataValidations count="1">
    <dataValidation sqref="K5:P14" showDropDown="0" showInputMessage="0" showErrorMessage="0" allowBlank="0" type="list">
      <formula1>"通过,待验证,失败"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0" customWidth="1" min="21" max="21"/>
    <col width="13" customWidth="1" min="22" max="22"/>
    <col width="34" customWidth="1" min="23" max="23"/>
    <col width="34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13" customWidth="1" min="37" max="37"/>
  </cols>
  <sheetData>
    <row r="1" ht="34" customHeight="1">
      <c r="A1" s="4" t="inlineStr">
        <is>
          <t>会议共识评分</t>
        </is>
      </c>
    </row>
    <row r="2" ht="30" customHeight="1">
      <c r="A2" s="9" t="inlineStr">
        <is>
          <t>每个项目只保留一行会议结论。团队逐项讨论C1–C12并记录一个0–5共识分；无法共识时写入保留意见。Y–AJ为证据封顶后的有效分（4–5分若证据系数&lt;60%自动按3分计算），AK统计被封顶项数；O–V按有效分自动计算六个支柱、总分与评分完整度。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X2" s="144" t="n"/>
    </row>
    <row r="4" ht="32" customHeight="1">
      <c r="A4" s="23" t="inlineStr">
        <is>
          <t>项目ID</t>
        </is>
      </c>
      <c r="B4" s="24" t="inlineStr">
        <is>
          <t>会议状态</t>
        </is>
      </c>
      <c r="C4" s="24" t="inlineStr">
        <is>
          <t>C1</t>
        </is>
      </c>
      <c r="D4" s="24" t="inlineStr">
        <is>
          <t>C2</t>
        </is>
      </c>
      <c r="E4" s="24" t="inlineStr">
        <is>
          <t>C3</t>
        </is>
      </c>
      <c r="F4" s="24" t="inlineStr">
        <is>
          <t>C4</t>
        </is>
      </c>
      <c r="G4" s="24" t="inlineStr">
        <is>
          <t>C5</t>
        </is>
      </c>
      <c r="H4" s="24" t="inlineStr">
        <is>
          <t>C6</t>
        </is>
      </c>
      <c r="I4" s="24" t="inlineStr">
        <is>
          <t>C7</t>
        </is>
      </c>
      <c r="J4" s="24" t="inlineStr">
        <is>
          <t>C8</t>
        </is>
      </c>
      <c r="K4" s="24" t="inlineStr">
        <is>
          <t>C9</t>
        </is>
      </c>
      <c r="L4" s="24" t="inlineStr">
        <is>
          <t>C10</t>
        </is>
      </c>
      <c r="M4" s="24" t="inlineStr">
        <is>
          <t>C11</t>
        </is>
      </c>
      <c r="N4" s="24" t="inlineStr">
        <is>
          <t>C12</t>
        </is>
      </c>
      <c r="O4" s="24" t="inlineStr">
        <is>
          <t>产品商业</t>
        </is>
      </c>
      <c r="P4" s="24" t="inlineStr">
        <is>
          <t>场景实用</t>
        </is>
      </c>
      <c r="Q4" s="24" t="inlineStr">
        <is>
          <t>Spark竞赛</t>
        </is>
      </c>
      <c r="R4" s="24" t="inlineStr">
        <is>
          <t>演示闭环</t>
        </is>
      </c>
      <c r="S4" s="24" t="inlineStr">
        <is>
          <t>数据评估</t>
        </is>
      </c>
      <c r="T4" s="24" t="inlineStr">
        <is>
          <t>交付风险</t>
        </is>
      </c>
      <c r="U4" s="24" t="inlineStr">
        <is>
          <t>总分</t>
        </is>
      </c>
      <c r="V4" s="24" t="inlineStr">
        <is>
          <t>评分完整度</t>
        </is>
      </c>
      <c r="W4" s="24" t="inlineStr">
        <is>
          <t>共识依据</t>
        </is>
      </c>
      <c r="X4" s="25" t="inlineStr">
        <is>
          <t>保留意见/待验证</t>
        </is>
      </c>
      <c r="Y4" s="24" t="inlineStr">
        <is>
          <t>C1有效</t>
        </is>
      </c>
      <c r="Z4" s="24" t="inlineStr">
        <is>
          <t>C2有效</t>
        </is>
      </c>
      <c r="AA4" s="24" t="inlineStr">
        <is>
          <t>C3有效</t>
        </is>
      </c>
      <c r="AB4" s="24" t="inlineStr">
        <is>
          <t>C4有效</t>
        </is>
      </c>
      <c r="AC4" s="24" t="inlineStr">
        <is>
          <t>C5有效</t>
        </is>
      </c>
      <c r="AD4" s="24" t="inlineStr">
        <is>
          <t>C6有效</t>
        </is>
      </c>
      <c r="AE4" s="24" t="inlineStr">
        <is>
          <t>C7有效</t>
        </is>
      </c>
      <c r="AF4" s="24" t="inlineStr">
        <is>
          <t>C8有效</t>
        </is>
      </c>
      <c r="AG4" s="24" t="inlineStr">
        <is>
          <t>C9有效</t>
        </is>
      </c>
      <c r="AH4" s="24" t="inlineStr">
        <is>
          <t>C10有效</t>
        </is>
      </c>
      <c r="AI4" s="24" t="inlineStr">
        <is>
          <t>C11有效</t>
        </is>
      </c>
      <c r="AJ4" s="24" t="inlineStr">
        <is>
          <t>C12有效</t>
        </is>
      </c>
      <c r="AK4" s="24" t="inlineStr">
        <is>
          <t>证据封顶项数</t>
        </is>
      </c>
    </row>
    <row r="5" ht="48" customHeight="1">
      <c r="A5" s="96" t="inlineStr">
        <is>
          <t>P01</t>
        </is>
      </c>
      <c r="B5" s="90" t="inlineStr">
        <is>
          <t>已达成共识</t>
        </is>
      </c>
      <c r="C5" s="168" t="n">
        <v>4</v>
      </c>
      <c r="D5" s="168" t="n">
        <v>3</v>
      </c>
      <c r="E5" s="168" t="n">
        <v>4</v>
      </c>
      <c r="F5" s="168" t="n">
        <v>4</v>
      </c>
      <c r="G5" s="168" t="n">
        <v>5</v>
      </c>
      <c r="H5" s="168" t="n">
        <v>4</v>
      </c>
      <c r="I5" s="168" t="n">
        <v>5</v>
      </c>
      <c r="J5" s="168" t="n">
        <v>5</v>
      </c>
      <c r="K5" s="168" t="n">
        <v>4</v>
      </c>
      <c r="L5" s="168" t="n">
        <v>4</v>
      </c>
      <c r="M5" s="168" t="n">
        <v>4</v>
      </c>
      <c r="N5" s="168" t="n">
        <v>3</v>
      </c>
      <c r="O5" s="159">
        <f>IF(A5="","",(Y5*'参数与锚点'!$D$5+Z5*'参数与锚点'!$D$6)/5)</f>
        <v/>
      </c>
      <c r="P5" s="159">
        <f>IF(A5="","",(AA5*'参数与锚点'!$D$7+AB5*'参数与锚点'!$D$8)/5)</f>
        <v/>
      </c>
      <c r="Q5" s="159">
        <f>IF(A5="","",(AC5*'参数与锚点'!$D$9+AD5*'参数与锚点'!$D$10)/5)</f>
        <v/>
      </c>
      <c r="R5" s="159">
        <f>IF(A5="","",(AE5*'参数与锚点'!$D$11+AF5*'参数与锚点'!$D$12)/5)</f>
        <v/>
      </c>
      <c r="S5" s="159">
        <f>IF(A5="","",(AG5*'参数与锚点'!$D$13+AH5*'参数与锚点'!$D$14)/5)</f>
        <v/>
      </c>
      <c r="T5" s="159">
        <f>IF(A5="","",(AI5*'参数与锚点'!$D$15+AJ5*'参数与锚点'!$D$16)/5)</f>
        <v/>
      </c>
      <c r="U5" s="159">
        <f>IF(A5="","",SUM(O5:T5))</f>
        <v/>
      </c>
      <c r="V5" s="160">
        <f>IF(A5="","",COUNT(C5:N5)/12)</f>
        <v/>
      </c>
      <c r="W5" s="90" t="inlineStr">
        <is>
          <t>闭环直观；多模态证据互补；Spark本地运行叙事自然。</t>
        </is>
      </c>
      <c r="X5" s="90" t="inlineStr">
        <is>
          <t>真实异常标签、AIS与视频同步、模型内存尚未实测。</t>
        </is>
      </c>
      <c r="Y5" s="161">
        <f>IF($A5="","",IF(C5="",0,MIN(C5,3+2*(SUMIFS('证据索引'!$I$5:$I$124,'证据索引'!$A$5:$A$124,$A5,'证据索引'!$B$5:$B$124,C$4)&gt;='参数与锚点'!$L$7))))</f>
        <v/>
      </c>
      <c r="Z5" s="161">
        <f>IF($A5="","",IF(D5="",0,MIN(D5,3+2*(SUMIFS('证据索引'!$I$5:$I$124,'证据索引'!$A$5:$A$124,$A5,'证据索引'!$B$5:$B$124,D$4)&gt;='参数与锚点'!$L$7))))</f>
        <v/>
      </c>
      <c r="AA5" s="161">
        <f>IF($A5="","",IF(E5="",0,MIN(E5,3+2*(SUMIFS('证据索引'!$I$5:$I$124,'证据索引'!$A$5:$A$124,$A5,'证据索引'!$B$5:$B$124,E$4)&gt;='参数与锚点'!$L$7))))</f>
        <v/>
      </c>
      <c r="AB5" s="161">
        <f>IF($A5="","",IF(F5="",0,MIN(F5,3+2*(SUMIFS('证据索引'!$I$5:$I$124,'证据索引'!$A$5:$A$124,$A5,'证据索引'!$B$5:$B$124,F$4)&gt;='参数与锚点'!$L$7))))</f>
        <v/>
      </c>
      <c r="AC5" s="161">
        <f>IF($A5="","",IF(G5="",0,MIN(G5,3+2*(SUMIFS('证据索引'!$I$5:$I$124,'证据索引'!$A$5:$A$124,$A5,'证据索引'!$B$5:$B$124,G$4)&gt;='参数与锚点'!$L$7))))</f>
        <v/>
      </c>
      <c r="AD5" s="161">
        <f>IF($A5="","",IF(H5="",0,MIN(H5,3+2*(SUMIFS('证据索引'!$I$5:$I$124,'证据索引'!$A$5:$A$124,$A5,'证据索引'!$B$5:$B$124,H$4)&gt;='参数与锚点'!$L$7))))</f>
        <v/>
      </c>
      <c r="AE5" s="161">
        <f>IF($A5="","",IF(I5="",0,MIN(I5,3+2*(SUMIFS('证据索引'!$I$5:$I$124,'证据索引'!$A$5:$A$124,$A5,'证据索引'!$B$5:$B$124,I$4)&gt;='参数与锚点'!$L$7))))</f>
        <v/>
      </c>
      <c r="AF5" s="161">
        <f>IF($A5="","",IF(J5="",0,MIN(J5,3+2*(SUMIFS('证据索引'!$I$5:$I$124,'证据索引'!$A$5:$A$124,$A5,'证据索引'!$B$5:$B$124,J$4)&gt;='参数与锚点'!$L$7))))</f>
        <v/>
      </c>
      <c r="AG5" s="161">
        <f>IF($A5="","",IF(K5="",0,MIN(K5,3+2*(SUMIFS('证据索引'!$I$5:$I$124,'证据索引'!$A$5:$A$124,$A5,'证据索引'!$B$5:$B$124,K$4)&gt;='参数与锚点'!$L$7))))</f>
        <v/>
      </c>
      <c r="AH5" s="161">
        <f>IF($A5="","",IF(L5="",0,MIN(L5,3+2*(SUMIFS('证据索引'!$I$5:$I$124,'证据索引'!$A$5:$A$124,$A5,'证据索引'!$B$5:$B$124,L$4)&gt;='参数与锚点'!$L$7))))</f>
        <v/>
      </c>
      <c r="AI5" s="161">
        <f>IF($A5="","",IF(M5="",0,MIN(M5,3+2*(SUMIFS('证据索引'!$I$5:$I$124,'证据索引'!$A$5:$A$124,$A5,'证据索引'!$B$5:$B$124,M$4)&gt;='参数与锚点'!$L$7))))</f>
        <v/>
      </c>
      <c r="AJ5" s="161">
        <f>IF($A5="","",IF(N5="",0,MIN(N5,3+2*(SUMIFS('证据索引'!$I$5:$I$124,'证据索引'!$A$5:$A$124,$A5,'证据索引'!$B$5:$B$124,N$4)&gt;='参数与锚点'!$L$7))))</f>
        <v/>
      </c>
      <c r="AK5" s="161">
        <f>IF($A5="","",SUMPRODUCT((C5:N5&gt;Y5:AJ5)*1))</f>
        <v/>
      </c>
    </row>
    <row r="6" ht="48" customHeight="1">
      <c r="A6" s="97" t="inlineStr">
        <is>
          <t>P02</t>
        </is>
      </c>
      <c r="B6" s="91" t="inlineStr">
        <is>
          <t>已达成共识</t>
        </is>
      </c>
      <c r="C6" s="169" t="n">
        <v>4</v>
      </c>
      <c r="D6" s="169" t="n">
        <v>3</v>
      </c>
      <c r="E6" s="169" t="n">
        <v>4</v>
      </c>
      <c r="F6" s="169" t="n">
        <v>4</v>
      </c>
      <c r="G6" s="169" t="n">
        <v>4</v>
      </c>
      <c r="H6" s="169" t="n">
        <v>3</v>
      </c>
      <c r="I6" s="169" t="n">
        <v>4</v>
      </c>
      <c r="J6" s="169" t="n">
        <v>4</v>
      </c>
      <c r="K6" s="169" t="n">
        <v>3</v>
      </c>
      <c r="L6" s="169" t="n">
        <v>4</v>
      </c>
      <c r="M6" s="169" t="n">
        <v>4</v>
      </c>
      <c r="N6" s="169" t="n">
        <v>3</v>
      </c>
      <c r="O6" s="162">
        <f>IF(A6="","",(Y6*'参数与锚点'!$D$5+Z6*'参数与锚点'!$D$6)/5)</f>
        <v/>
      </c>
      <c r="P6" s="162">
        <f>IF(A6="","",(AA6*'参数与锚点'!$D$7+AB6*'参数与锚点'!$D$8)/5)</f>
        <v/>
      </c>
      <c r="Q6" s="162">
        <f>IF(A6="","",(AC6*'参数与锚点'!$D$9+AD6*'参数与锚点'!$D$10)/5)</f>
        <v/>
      </c>
      <c r="R6" s="162">
        <f>IF(A6="","",(AE6*'参数与锚点'!$D$11+AF6*'参数与锚点'!$D$12)/5)</f>
        <v/>
      </c>
      <c r="S6" s="162">
        <f>IF(A6="","",(AG6*'参数与锚点'!$D$13+AH6*'参数与锚点'!$D$14)/5)</f>
        <v/>
      </c>
      <c r="T6" s="162">
        <f>IF(A6="","",(AI6*'参数与锚点'!$D$15+AJ6*'参数与锚点'!$D$16)/5)</f>
        <v/>
      </c>
      <c r="U6" s="162">
        <f>IF(A6="","",SUM(O6:T6))</f>
        <v/>
      </c>
      <c r="V6" s="163">
        <f>IF(A6="","",COUNT(C6:N6)/12)</f>
        <v/>
      </c>
      <c r="W6" s="91" t="inlineStr">
        <is>
          <t>船上断网与隐私需求明确，事件视觉表达强。</t>
        </is>
      </c>
      <c r="X6" s="91" t="inlineStr">
        <is>
          <t>疲劳真值、误报责任与公开数据授权仍需验证。</t>
        </is>
      </c>
      <c r="Y6" s="161">
        <f>IF($A6="","",IF(C6="",0,MIN(C6,3+2*(SUMIFS('证据索引'!$I$5:$I$124,'证据索引'!$A$5:$A$124,$A6,'证据索引'!$B$5:$B$124,C$4)&gt;='参数与锚点'!$L$7))))</f>
        <v/>
      </c>
      <c r="Z6" s="161">
        <f>IF($A6="","",IF(D6="",0,MIN(D6,3+2*(SUMIFS('证据索引'!$I$5:$I$124,'证据索引'!$A$5:$A$124,$A6,'证据索引'!$B$5:$B$124,D$4)&gt;='参数与锚点'!$L$7))))</f>
        <v/>
      </c>
      <c r="AA6" s="161">
        <f>IF($A6="","",IF(E6="",0,MIN(E6,3+2*(SUMIFS('证据索引'!$I$5:$I$124,'证据索引'!$A$5:$A$124,$A6,'证据索引'!$B$5:$B$124,E$4)&gt;='参数与锚点'!$L$7))))</f>
        <v/>
      </c>
      <c r="AB6" s="161">
        <f>IF($A6="","",IF(F6="",0,MIN(F6,3+2*(SUMIFS('证据索引'!$I$5:$I$124,'证据索引'!$A$5:$A$124,$A6,'证据索引'!$B$5:$B$124,F$4)&gt;='参数与锚点'!$L$7))))</f>
        <v/>
      </c>
      <c r="AC6" s="161">
        <f>IF($A6="","",IF(G6="",0,MIN(G6,3+2*(SUMIFS('证据索引'!$I$5:$I$124,'证据索引'!$A$5:$A$124,$A6,'证据索引'!$B$5:$B$124,G$4)&gt;='参数与锚点'!$L$7))))</f>
        <v/>
      </c>
      <c r="AD6" s="161">
        <f>IF($A6="","",IF(H6="",0,MIN(H6,3+2*(SUMIFS('证据索引'!$I$5:$I$124,'证据索引'!$A$5:$A$124,$A6,'证据索引'!$B$5:$B$124,H$4)&gt;='参数与锚点'!$L$7))))</f>
        <v/>
      </c>
      <c r="AE6" s="161">
        <f>IF($A6="","",IF(I6="",0,MIN(I6,3+2*(SUMIFS('证据索引'!$I$5:$I$124,'证据索引'!$A$5:$A$124,$A6,'证据索引'!$B$5:$B$124,I$4)&gt;='参数与锚点'!$L$7))))</f>
        <v/>
      </c>
      <c r="AF6" s="161">
        <f>IF($A6="","",IF(J6="",0,MIN(J6,3+2*(SUMIFS('证据索引'!$I$5:$I$124,'证据索引'!$A$5:$A$124,$A6,'证据索引'!$B$5:$B$124,J$4)&gt;='参数与锚点'!$L$7))))</f>
        <v/>
      </c>
      <c r="AG6" s="161">
        <f>IF($A6="","",IF(K6="",0,MIN(K6,3+2*(SUMIFS('证据索引'!$I$5:$I$124,'证据索引'!$A$5:$A$124,$A6,'证据索引'!$B$5:$B$124,K$4)&gt;='参数与锚点'!$L$7))))</f>
        <v/>
      </c>
      <c r="AH6" s="161">
        <f>IF($A6="","",IF(L6="",0,MIN(L6,3+2*(SUMIFS('证据索引'!$I$5:$I$124,'证据索引'!$A$5:$A$124,$A6,'证据索引'!$B$5:$B$124,L$4)&gt;='参数与锚点'!$L$7))))</f>
        <v/>
      </c>
      <c r="AI6" s="161">
        <f>IF($A6="","",IF(M6="",0,MIN(M6,3+2*(SUMIFS('证据索引'!$I$5:$I$124,'证据索引'!$A$5:$A$124,$A6,'证据索引'!$B$5:$B$124,M$4)&gt;='参数与锚点'!$L$7))))</f>
        <v/>
      </c>
      <c r="AJ6" s="161">
        <f>IF($A6="","",IF(N6="",0,MIN(N6,3+2*(SUMIFS('证据索引'!$I$5:$I$124,'证据索引'!$A$5:$A$124,$A6,'证据索引'!$B$5:$B$124,N$4)&gt;='参数与锚点'!$L$7))))</f>
        <v/>
      </c>
      <c r="AK6" s="161">
        <f>IF($A6="","",SUMPRODUCT((C6:N6&gt;Y6:AJ6)*1))</f>
        <v/>
      </c>
    </row>
    <row r="7" ht="48" customHeight="1">
      <c r="A7" s="97" t="inlineStr">
        <is>
          <t>P03</t>
        </is>
      </c>
      <c r="B7" s="91" t="inlineStr">
        <is>
          <t>已达成共识</t>
        </is>
      </c>
      <c r="C7" s="169" t="n">
        <v>3</v>
      </c>
      <c r="D7" s="169" t="n">
        <v>4</v>
      </c>
      <c r="E7" s="169" t="n">
        <v>4</v>
      </c>
      <c r="F7" s="169" t="n">
        <v>3</v>
      </c>
      <c r="G7" s="169" t="n">
        <v>4</v>
      </c>
      <c r="H7" s="169" t="n">
        <v>3</v>
      </c>
      <c r="I7" s="169" t="n">
        <v>4</v>
      </c>
      <c r="J7" s="169" t="n">
        <v>4</v>
      </c>
      <c r="K7" s="169" t="n">
        <v>4</v>
      </c>
      <c r="L7" s="169" t="n">
        <v>4</v>
      </c>
      <c r="M7" s="169" t="n">
        <v>4</v>
      </c>
      <c r="N7" s="169" t="n">
        <v>4</v>
      </c>
      <c r="O7" s="162">
        <f>IF(A7="","",(Y7*'参数与锚点'!$D$5+Z7*'参数与锚点'!$D$6)/5)</f>
        <v/>
      </c>
      <c r="P7" s="162">
        <f>IF(A7="","",(AA7*'参数与锚点'!$D$7+AB7*'参数与锚点'!$D$8)/5)</f>
        <v/>
      </c>
      <c r="Q7" s="162">
        <f>IF(A7="","",(AC7*'参数与锚点'!$D$9+AD7*'参数与锚点'!$D$10)/5)</f>
        <v/>
      </c>
      <c r="R7" s="162">
        <f>IF(A7="","",(AE7*'参数与锚点'!$D$11+AF7*'参数与锚点'!$D$12)/5)</f>
        <v/>
      </c>
      <c r="S7" s="162">
        <f>IF(A7="","",(AG7*'参数与锚点'!$D$13+AH7*'参数与锚点'!$D$14)/5)</f>
        <v/>
      </c>
      <c r="T7" s="162">
        <f>IF(A7="","",(AI7*'参数与锚点'!$D$15+AJ7*'参数与锚点'!$D$16)/5)</f>
        <v/>
      </c>
      <c r="U7" s="162">
        <f>IF(A7="","",SUM(O7:T7))</f>
        <v/>
      </c>
      <c r="V7" s="163">
        <f>IF(A7="","",COUNT(C7:N7)/12)</f>
        <v/>
      </c>
      <c r="W7" s="91" t="inlineStr">
        <is>
          <t>可形成透明证据链，采购方与调查流程较清楚。</t>
        </is>
      </c>
      <c r="X7" s="91" t="inlineStr">
        <is>
          <t>事故数据许可、多源时间对齐和即时演示感存在风险。</t>
        </is>
      </c>
      <c r="Y7" s="161">
        <f>IF($A7="","",IF(C7="",0,MIN(C7,3+2*(SUMIFS('证据索引'!$I$5:$I$124,'证据索引'!$A$5:$A$124,$A7,'证据索引'!$B$5:$B$124,C$4)&gt;='参数与锚点'!$L$7))))</f>
        <v/>
      </c>
      <c r="Z7" s="161">
        <f>IF($A7="","",IF(D7="",0,MIN(D7,3+2*(SUMIFS('证据索引'!$I$5:$I$124,'证据索引'!$A$5:$A$124,$A7,'证据索引'!$B$5:$B$124,D$4)&gt;='参数与锚点'!$L$7))))</f>
        <v/>
      </c>
      <c r="AA7" s="161">
        <f>IF($A7="","",IF(E7="",0,MIN(E7,3+2*(SUMIFS('证据索引'!$I$5:$I$124,'证据索引'!$A$5:$A$124,$A7,'证据索引'!$B$5:$B$124,E$4)&gt;='参数与锚点'!$L$7))))</f>
        <v/>
      </c>
      <c r="AB7" s="161">
        <f>IF($A7="","",IF(F7="",0,MIN(F7,3+2*(SUMIFS('证据索引'!$I$5:$I$124,'证据索引'!$A$5:$A$124,$A7,'证据索引'!$B$5:$B$124,F$4)&gt;='参数与锚点'!$L$7))))</f>
        <v/>
      </c>
      <c r="AC7" s="161">
        <f>IF($A7="","",IF(G7="",0,MIN(G7,3+2*(SUMIFS('证据索引'!$I$5:$I$124,'证据索引'!$A$5:$A$124,$A7,'证据索引'!$B$5:$B$124,G$4)&gt;='参数与锚点'!$L$7))))</f>
        <v/>
      </c>
      <c r="AD7" s="161">
        <f>IF($A7="","",IF(H7="",0,MIN(H7,3+2*(SUMIFS('证据索引'!$I$5:$I$124,'证据索引'!$A$5:$A$124,$A7,'证据索引'!$B$5:$B$124,H$4)&gt;='参数与锚点'!$L$7))))</f>
        <v/>
      </c>
      <c r="AE7" s="161">
        <f>IF($A7="","",IF(I7="",0,MIN(I7,3+2*(SUMIFS('证据索引'!$I$5:$I$124,'证据索引'!$A$5:$A$124,$A7,'证据索引'!$B$5:$B$124,I$4)&gt;='参数与锚点'!$L$7))))</f>
        <v/>
      </c>
      <c r="AF7" s="161">
        <f>IF($A7="","",IF(J7="",0,MIN(J7,3+2*(SUMIFS('证据索引'!$I$5:$I$124,'证据索引'!$A$5:$A$124,$A7,'证据索引'!$B$5:$B$124,J$4)&gt;='参数与锚点'!$L$7))))</f>
        <v/>
      </c>
      <c r="AG7" s="161">
        <f>IF($A7="","",IF(K7="",0,MIN(K7,3+2*(SUMIFS('证据索引'!$I$5:$I$124,'证据索引'!$A$5:$A$124,$A7,'证据索引'!$B$5:$B$124,K$4)&gt;='参数与锚点'!$L$7))))</f>
        <v/>
      </c>
      <c r="AH7" s="161">
        <f>IF($A7="","",IF(L7="",0,MIN(L7,3+2*(SUMIFS('证据索引'!$I$5:$I$124,'证据索引'!$A$5:$A$124,$A7,'证据索引'!$B$5:$B$124,L$4)&gt;='参数与锚点'!$L$7))))</f>
        <v/>
      </c>
      <c r="AI7" s="161">
        <f>IF($A7="","",IF(M7="",0,MIN(M7,3+2*(SUMIFS('证据索引'!$I$5:$I$124,'证据索引'!$A$5:$A$124,$A7,'证据索引'!$B$5:$B$124,M$4)&gt;='参数与锚点'!$L$7))))</f>
        <v/>
      </c>
      <c r="AJ7" s="161">
        <f>IF($A7="","",IF(N7="",0,MIN(N7,3+2*(SUMIFS('证据索引'!$I$5:$I$124,'证据索引'!$A$5:$A$124,$A7,'证据索引'!$B$5:$B$124,N$4)&gt;='参数与锚点'!$L$7))))</f>
        <v/>
      </c>
      <c r="AK7" s="161">
        <f>IF($A7="","",SUMPRODUCT((C7:N7&gt;Y7:AJ7)*1))</f>
        <v/>
      </c>
    </row>
    <row r="8" ht="48" customHeight="1">
      <c r="A8" s="97" t="inlineStr">
        <is>
          <t>P04</t>
        </is>
      </c>
      <c r="B8" s="91" t="inlineStr">
        <is>
          <t>未评</t>
        </is>
      </c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2">
        <f>IF(A8="","",(Y8*'参数与锚点'!$D$5+Z8*'参数与锚点'!$D$6)/5)</f>
        <v/>
      </c>
      <c r="P8" s="162">
        <f>IF(A8="","",(AA8*'参数与锚点'!$D$7+AB8*'参数与锚点'!$D$8)/5)</f>
        <v/>
      </c>
      <c r="Q8" s="162">
        <f>IF(A8="","",(AC8*'参数与锚点'!$D$9+AD8*'参数与锚点'!$D$10)/5)</f>
        <v/>
      </c>
      <c r="R8" s="162">
        <f>IF(A8="","",(AE8*'参数与锚点'!$D$11+AF8*'参数与锚点'!$D$12)/5)</f>
        <v/>
      </c>
      <c r="S8" s="162">
        <f>IF(A8="","",(AG8*'参数与锚点'!$D$13+AH8*'参数与锚点'!$D$14)/5)</f>
        <v/>
      </c>
      <c r="T8" s="162">
        <f>IF(A8="","",(AI8*'参数与锚点'!$D$15+AJ8*'参数与锚点'!$D$16)/5)</f>
        <v/>
      </c>
      <c r="U8" s="162">
        <f>IF(A8="","",SUM(O8:T8))</f>
        <v/>
      </c>
      <c r="V8" s="163">
        <f>IF(A8="","",COUNT(C8:N8)/12)</f>
        <v/>
      </c>
      <c r="W8" s="91" t="n"/>
      <c r="X8" s="91" t="n"/>
      <c r="Y8" s="161">
        <f>IF($A8="","",IF(C8="",0,MIN(C8,3+2*(SUMIFS('证据索引'!$I$5:$I$124,'证据索引'!$A$5:$A$124,$A8,'证据索引'!$B$5:$B$124,C$4)&gt;='参数与锚点'!$L$7))))</f>
        <v/>
      </c>
      <c r="Z8" s="161">
        <f>IF($A8="","",IF(D8="",0,MIN(D8,3+2*(SUMIFS('证据索引'!$I$5:$I$124,'证据索引'!$A$5:$A$124,$A8,'证据索引'!$B$5:$B$124,D$4)&gt;='参数与锚点'!$L$7))))</f>
        <v/>
      </c>
      <c r="AA8" s="161">
        <f>IF($A8="","",IF(E8="",0,MIN(E8,3+2*(SUMIFS('证据索引'!$I$5:$I$124,'证据索引'!$A$5:$A$124,$A8,'证据索引'!$B$5:$B$124,E$4)&gt;='参数与锚点'!$L$7))))</f>
        <v/>
      </c>
      <c r="AB8" s="161">
        <f>IF($A8="","",IF(F8="",0,MIN(F8,3+2*(SUMIFS('证据索引'!$I$5:$I$124,'证据索引'!$A$5:$A$124,$A8,'证据索引'!$B$5:$B$124,F$4)&gt;='参数与锚点'!$L$7))))</f>
        <v/>
      </c>
      <c r="AC8" s="161">
        <f>IF($A8="","",IF(G8="",0,MIN(G8,3+2*(SUMIFS('证据索引'!$I$5:$I$124,'证据索引'!$A$5:$A$124,$A8,'证据索引'!$B$5:$B$124,G$4)&gt;='参数与锚点'!$L$7))))</f>
        <v/>
      </c>
      <c r="AD8" s="161">
        <f>IF($A8="","",IF(H8="",0,MIN(H8,3+2*(SUMIFS('证据索引'!$I$5:$I$124,'证据索引'!$A$5:$A$124,$A8,'证据索引'!$B$5:$B$124,H$4)&gt;='参数与锚点'!$L$7))))</f>
        <v/>
      </c>
      <c r="AE8" s="161">
        <f>IF($A8="","",IF(I8="",0,MIN(I8,3+2*(SUMIFS('证据索引'!$I$5:$I$124,'证据索引'!$A$5:$A$124,$A8,'证据索引'!$B$5:$B$124,I$4)&gt;='参数与锚点'!$L$7))))</f>
        <v/>
      </c>
      <c r="AF8" s="161">
        <f>IF($A8="","",IF(J8="",0,MIN(J8,3+2*(SUMIFS('证据索引'!$I$5:$I$124,'证据索引'!$A$5:$A$124,$A8,'证据索引'!$B$5:$B$124,J$4)&gt;='参数与锚点'!$L$7))))</f>
        <v/>
      </c>
      <c r="AG8" s="161">
        <f>IF($A8="","",IF(K8="",0,MIN(K8,3+2*(SUMIFS('证据索引'!$I$5:$I$124,'证据索引'!$A$5:$A$124,$A8,'证据索引'!$B$5:$B$124,K$4)&gt;='参数与锚点'!$L$7))))</f>
        <v/>
      </c>
      <c r="AH8" s="161">
        <f>IF($A8="","",IF(L8="",0,MIN(L8,3+2*(SUMIFS('证据索引'!$I$5:$I$124,'证据索引'!$A$5:$A$124,$A8,'证据索引'!$B$5:$B$124,L$4)&gt;='参数与锚点'!$L$7))))</f>
        <v/>
      </c>
      <c r="AI8" s="161">
        <f>IF($A8="","",IF(M8="",0,MIN(M8,3+2*(SUMIFS('证据索引'!$I$5:$I$124,'证据索引'!$A$5:$A$124,$A8,'证据索引'!$B$5:$B$124,M$4)&gt;='参数与锚点'!$L$7))))</f>
        <v/>
      </c>
      <c r="AJ8" s="161">
        <f>IF($A8="","",IF(N8="",0,MIN(N8,3+2*(SUMIFS('证据索引'!$I$5:$I$124,'证据索引'!$A$5:$A$124,$A8,'证据索引'!$B$5:$B$124,N$4)&gt;='参数与锚点'!$L$7))))</f>
        <v/>
      </c>
      <c r="AK8" s="161">
        <f>IF($A8="","",SUMPRODUCT((C8:N8&gt;Y8:AJ8)*1))</f>
        <v/>
      </c>
    </row>
    <row r="9" ht="48" customHeight="1">
      <c r="A9" s="97" t="inlineStr">
        <is>
          <t>P05</t>
        </is>
      </c>
      <c r="B9" s="91" t="inlineStr">
        <is>
          <t>未评</t>
        </is>
      </c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2">
        <f>IF(A9="","",(Y9*'参数与锚点'!$D$5+Z9*'参数与锚点'!$D$6)/5)</f>
        <v/>
      </c>
      <c r="P9" s="162">
        <f>IF(A9="","",(AA9*'参数与锚点'!$D$7+AB9*'参数与锚点'!$D$8)/5)</f>
        <v/>
      </c>
      <c r="Q9" s="162">
        <f>IF(A9="","",(AC9*'参数与锚点'!$D$9+AD9*'参数与锚点'!$D$10)/5)</f>
        <v/>
      </c>
      <c r="R9" s="162">
        <f>IF(A9="","",(AE9*'参数与锚点'!$D$11+AF9*'参数与锚点'!$D$12)/5)</f>
        <v/>
      </c>
      <c r="S9" s="162">
        <f>IF(A9="","",(AG9*'参数与锚点'!$D$13+AH9*'参数与锚点'!$D$14)/5)</f>
        <v/>
      </c>
      <c r="T9" s="162">
        <f>IF(A9="","",(AI9*'参数与锚点'!$D$15+AJ9*'参数与锚点'!$D$16)/5)</f>
        <v/>
      </c>
      <c r="U9" s="162">
        <f>IF(A9="","",SUM(O9:T9))</f>
        <v/>
      </c>
      <c r="V9" s="163">
        <f>IF(A9="","",COUNT(C9:N9)/12)</f>
        <v/>
      </c>
      <c r="W9" s="91" t="n"/>
      <c r="X9" s="91" t="n"/>
      <c r="Y9" s="161">
        <f>IF($A9="","",IF(C9="",0,MIN(C9,3+2*(SUMIFS('证据索引'!$I$5:$I$124,'证据索引'!$A$5:$A$124,$A9,'证据索引'!$B$5:$B$124,C$4)&gt;='参数与锚点'!$L$7))))</f>
        <v/>
      </c>
      <c r="Z9" s="161">
        <f>IF($A9="","",IF(D9="",0,MIN(D9,3+2*(SUMIFS('证据索引'!$I$5:$I$124,'证据索引'!$A$5:$A$124,$A9,'证据索引'!$B$5:$B$124,D$4)&gt;='参数与锚点'!$L$7))))</f>
        <v/>
      </c>
      <c r="AA9" s="161">
        <f>IF($A9="","",IF(E9="",0,MIN(E9,3+2*(SUMIFS('证据索引'!$I$5:$I$124,'证据索引'!$A$5:$A$124,$A9,'证据索引'!$B$5:$B$124,E$4)&gt;='参数与锚点'!$L$7))))</f>
        <v/>
      </c>
      <c r="AB9" s="161">
        <f>IF($A9="","",IF(F9="",0,MIN(F9,3+2*(SUMIFS('证据索引'!$I$5:$I$124,'证据索引'!$A$5:$A$124,$A9,'证据索引'!$B$5:$B$124,F$4)&gt;='参数与锚点'!$L$7))))</f>
        <v/>
      </c>
      <c r="AC9" s="161">
        <f>IF($A9="","",IF(G9="",0,MIN(G9,3+2*(SUMIFS('证据索引'!$I$5:$I$124,'证据索引'!$A$5:$A$124,$A9,'证据索引'!$B$5:$B$124,G$4)&gt;='参数与锚点'!$L$7))))</f>
        <v/>
      </c>
      <c r="AD9" s="161">
        <f>IF($A9="","",IF(H9="",0,MIN(H9,3+2*(SUMIFS('证据索引'!$I$5:$I$124,'证据索引'!$A$5:$A$124,$A9,'证据索引'!$B$5:$B$124,H$4)&gt;='参数与锚点'!$L$7))))</f>
        <v/>
      </c>
      <c r="AE9" s="161">
        <f>IF($A9="","",IF(I9="",0,MIN(I9,3+2*(SUMIFS('证据索引'!$I$5:$I$124,'证据索引'!$A$5:$A$124,$A9,'证据索引'!$B$5:$B$124,I$4)&gt;='参数与锚点'!$L$7))))</f>
        <v/>
      </c>
      <c r="AF9" s="161">
        <f>IF($A9="","",IF(J9="",0,MIN(J9,3+2*(SUMIFS('证据索引'!$I$5:$I$124,'证据索引'!$A$5:$A$124,$A9,'证据索引'!$B$5:$B$124,J$4)&gt;='参数与锚点'!$L$7))))</f>
        <v/>
      </c>
      <c r="AG9" s="161">
        <f>IF($A9="","",IF(K9="",0,MIN(K9,3+2*(SUMIFS('证据索引'!$I$5:$I$124,'证据索引'!$A$5:$A$124,$A9,'证据索引'!$B$5:$B$124,K$4)&gt;='参数与锚点'!$L$7))))</f>
        <v/>
      </c>
      <c r="AH9" s="161">
        <f>IF($A9="","",IF(L9="",0,MIN(L9,3+2*(SUMIFS('证据索引'!$I$5:$I$124,'证据索引'!$A$5:$A$124,$A9,'证据索引'!$B$5:$B$124,L$4)&gt;='参数与锚点'!$L$7))))</f>
        <v/>
      </c>
      <c r="AI9" s="161">
        <f>IF($A9="","",IF(M9="",0,MIN(M9,3+2*(SUMIFS('证据索引'!$I$5:$I$124,'证据索引'!$A$5:$A$124,$A9,'证据索引'!$B$5:$B$124,M$4)&gt;='参数与锚点'!$L$7))))</f>
        <v/>
      </c>
      <c r="AJ9" s="161">
        <f>IF($A9="","",IF(N9="",0,MIN(N9,3+2*(SUMIFS('证据索引'!$I$5:$I$124,'证据索引'!$A$5:$A$124,$A9,'证据索引'!$B$5:$B$124,N$4)&gt;='参数与锚点'!$L$7))))</f>
        <v/>
      </c>
      <c r="AK9" s="161">
        <f>IF($A9="","",SUMPRODUCT((C9:N9&gt;Y9:AJ9)*1))</f>
        <v/>
      </c>
    </row>
    <row r="10" ht="48" customHeight="1">
      <c r="A10" s="97" t="inlineStr">
        <is>
          <t>P06</t>
        </is>
      </c>
      <c r="B10" s="91" t="inlineStr">
        <is>
          <t>未评</t>
        </is>
      </c>
      <c r="C10" s="169" t="n"/>
      <c r="D10" s="169" t="n"/>
      <c r="E10" s="169" t="n"/>
      <c r="F10" s="169" t="n"/>
      <c r="G10" s="169" t="n"/>
      <c r="H10" s="169" t="n"/>
      <c r="I10" s="169" t="n"/>
      <c r="J10" s="169" t="n"/>
      <c r="K10" s="169" t="n"/>
      <c r="L10" s="169" t="n"/>
      <c r="M10" s="169" t="n"/>
      <c r="N10" s="169" t="n"/>
      <c r="O10" s="162">
        <f>IF(A10="","",(Y10*'参数与锚点'!$D$5+Z10*'参数与锚点'!$D$6)/5)</f>
        <v/>
      </c>
      <c r="P10" s="162">
        <f>IF(A10="","",(AA10*'参数与锚点'!$D$7+AB10*'参数与锚点'!$D$8)/5)</f>
        <v/>
      </c>
      <c r="Q10" s="162">
        <f>IF(A10="","",(AC10*'参数与锚点'!$D$9+AD10*'参数与锚点'!$D$10)/5)</f>
        <v/>
      </c>
      <c r="R10" s="162">
        <f>IF(A10="","",(AE10*'参数与锚点'!$D$11+AF10*'参数与锚点'!$D$12)/5)</f>
        <v/>
      </c>
      <c r="S10" s="162">
        <f>IF(A10="","",(AG10*'参数与锚点'!$D$13+AH10*'参数与锚点'!$D$14)/5)</f>
        <v/>
      </c>
      <c r="T10" s="162">
        <f>IF(A10="","",(AI10*'参数与锚点'!$D$15+AJ10*'参数与锚点'!$D$16)/5)</f>
        <v/>
      </c>
      <c r="U10" s="162">
        <f>IF(A10="","",SUM(O10:T10))</f>
        <v/>
      </c>
      <c r="V10" s="163">
        <f>IF(A10="","",COUNT(C10:N10)/12)</f>
        <v/>
      </c>
      <c r="W10" s="91" t="n"/>
      <c r="X10" s="91" t="n"/>
      <c r="Y10" s="161">
        <f>IF($A10="","",IF(C10="",0,MIN(C10,3+2*(SUMIFS('证据索引'!$I$5:$I$124,'证据索引'!$A$5:$A$124,$A10,'证据索引'!$B$5:$B$124,C$4)&gt;='参数与锚点'!$L$7))))</f>
        <v/>
      </c>
      <c r="Z10" s="161">
        <f>IF($A10="","",IF(D10="",0,MIN(D10,3+2*(SUMIFS('证据索引'!$I$5:$I$124,'证据索引'!$A$5:$A$124,$A10,'证据索引'!$B$5:$B$124,D$4)&gt;='参数与锚点'!$L$7))))</f>
        <v/>
      </c>
      <c r="AA10" s="161">
        <f>IF($A10="","",IF(E10="",0,MIN(E10,3+2*(SUMIFS('证据索引'!$I$5:$I$124,'证据索引'!$A$5:$A$124,$A10,'证据索引'!$B$5:$B$124,E$4)&gt;='参数与锚点'!$L$7))))</f>
        <v/>
      </c>
      <c r="AB10" s="161">
        <f>IF($A10="","",IF(F10="",0,MIN(F10,3+2*(SUMIFS('证据索引'!$I$5:$I$124,'证据索引'!$A$5:$A$124,$A10,'证据索引'!$B$5:$B$124,F$4)&gt;='参数与锚点'!$L$7))))</f>
        <v/>
      </c>
      <c r="AC10" s="161">
        <f>IF($A10="","",IF(G10="",0,MIN(G10,3+2*(SUMIFS('证据索引'!$I$5:$I$124,'证据索引'!$A$5:$A$124,$A10,'证据索引'!$B$5:$B$124,G$4)&gt;='参数与锚点'!$L$7))))</f>
        <v/>
      </c>
      <c r="AD10" s="161">
        <f>IF($A10="","",IF(H10="",0,MIN(H10,3+2*(SUMIFS('证据索引'!$I$5:$I$124,'证据索引'!$A$5:$A$124,$A10,'证据索引'!$B$5:$B$124,H$4)&gt;='参数与锚点'!$L$7))))</f>
        <v/>
      </c>
      <c r="AE10" s="161">
        <f>IF($A10="","",IF(I10="",0,MIN(I10,3+2*(SUMIFS('证据索引'!$I$5:$I$124,'证据索引'!$A$5:$A$124,$A10,'证据索引'!$B$5:$B$124,I$4)&gt;='参数与锚点'!$L$7))))</f>
        <v/>
      </c>
      <c r="AF10" s="161">
        <f>IF($A10="","",IF(J10="",0,MIN(J10,3+2*(SUMIFS('证据索引'!$I$5:$I$124,'证据索引'!$A$5:$A$124,$A10,'证据索引'!$B$5:$B$124,J$4)&gt;='参数与锚点'!$L$7))))</f>
        <v/>
      </c>
      <c r="AG10" s="161">
        <f>IF($A10="","",IF(K10="",0,MIN(K10,3+2*(SUMIFS('证据索引'!$I$5:$I$124,'证据索引'!$A$5:$A$124,$A10,'证据索引'!$B$5:$B$124,K$4)&gt;='参数与锚点'!$L$7))))</f>
        <v/>
      </c>
      <c r="AH10" s="161">
        <f>IF($A10="","",IF(L10="",0,MIN(L10,3+2*(SUMIFS('证据索引'!$I$5:$I$124,'证据索引'!$A$5:$A$124,$A10,'证据索引'!$B$5:$B$124,L$4)&gt;='参数与锚点'!$L$7))))</f>
        <v/>
      </c>
      <c r="AI10" s="161">
        <f>IF($A10="","",IF(M10="",0,MIN(M10,3+2*(SUMIFS('证据索引'!$I$5:$I$124,'证据索引'!$A$5:$A$124,$A10,'证据索引'!$B$5:$B$124,M$4)&gt;='参数与锚点'!$L$7))))</f>
        <v/>
      </c>
      <c r="AJ10" s="161">
        <f>IF($A10="","",IF(N10="",0,MIN(N10,3+2*(SUMIFS('证据索引'!$I$5:$I$124,'证据索引'!$A$5:$A$124,$A10,'证据索引'!$B$5:$B$124,N$4)&gt;='参数与锚点'!$L$7))))</f>
        <v/>
      </c>
      <c r="AK10" s="161">
        <f>IF($A10="","",SUMPRODUCT((C10:N10&gt;Y10:AJ10)*1))</f>
        <v/>
      </c>
    </row>
    <row r="11" ht="48" customHeight="1">
      <c r="A11" s="97" t="inlineStr">
        <is>
          <t>P07</t>
        </is>
      </c>
      <c r="B11" s="91" t="inlineStr">
        <is>
          <t>未评</t>
        </is>
      </c>
      <c r="C11" s="169" t="n"/>
      <c r="D11" s="169" t="n"/>
      <c r="E11" s="169" t="n"/>
      <c r="F11" s="169" t="n"/>
      <c r="G11" s="169" t="n"/>
      <c r="H11" s="169" t="n"/>
      <c r="I11" s="169" t="n"/>
      <c r="J11" s="169" t="n"/>
      <c r="K11" s="169" t="n"/>
      <c r="L11" s="169" t="n"/>
      <c r="M11" s="169" t="n"/>
      <c r="N11" s="169" t="n"/>
      <c r="O11" s="162">
        <f>IF(A11="","",(Y11*'参数与锚点'!$D$5+Z11*'参数与锚点'!$D$6)/5)</f>
        <v/>
      </c>
      <c r="P11" s="162">
        <f>IF(A11="","",(AA11*'参数与锚点'!$D$7+AB11*'参数与锚点'!$D$8)/5)</f>
        <v/>
      </c>
      <c r="Q11" s="162">
        <f>IF(A11="","",(AC11*'参数与锚点'!$D$9+AD11*'参数与锚点'!$D$10)/5)</f>
        <v/>
      </c>
      <c r="R11" s="162">
        <f>IF(A11="","",(AE11*'参数与锚点'!$D$11+AF11*'参数与锚点'!$D$12)/5)</f>
        <v/>
      </c>
      <c r="S11" s="162">
        <f>IF(A11="","",(AG11*'参数与锚点'!$D$13+AH11*'参数与锚点'!$D$14)/5)</f>
        <v/>
      </c>
      <c r="T11" s="162">
        <f>IF(A11="","",(AI11*'参数与锚点'!$D$15+AJ11*'参数与锚点'!$D$16)/5)</f>
        <v/>
      </c>
      <c r="U11" s="162">
        <f>IF(A11="","",SUM(O11:T11))</f>
        <v/>
      </c>
      <c r="V11" s="163">
        <f>IF(A11="","",COUNT(C11:N11)/12)</f>
        <v/>
      </c>
      <c r="W11" s="91" t="n"/>
      <c r="X11" s="91" t="n"/>
      <c r="Y11" s="161">
        <f>IF($A11="","",IF(C11="",0,MIN(C11,3+2*(SUMIFS('证据索引'!$I$5:$I$124,'证据索引'!$A$5:$A$124,$A11,'证据索引'!$B$5:$B$124,C$4)&gt;='参数与锚点'!$L$7))))</f>
        <v/>
      </c>
      <c r="Z11" s="161">
        <f>IF($A11="","",IF(D11="",0,MIN(D11,3+2*(SUMIFS('证据索引'!$I$5:$I$124,'证据索引'!$A$5:$A$124,$A11,'证据索引'!$B$5:$B$124,D$4)&gt;='参数与锚点'!$L$7))))</f>
        <v/>
      </c>
      <c r="AA11" s="161">
        <f>IF($A11="","",IF(E11="",0,MIN(E11,3+2*(SUMIFS('证据索引'!$I$5:$I$124,'证据索引'!$A$5:$A$124,$A11,'证据索引'!$B$5:$B$124,E$4)&gt;='参数与锚点'!$L$7))))</f>
        <v/>
      </c>
      <c r="AB11" s="161">
        <f>IF($A11="","",IF(F11="",0,MIN(F11,3+2*(SUMIFS('证据索引'!$I$5:$I$124,'证据索引'!$A$5:$A$124,$A11,'证据索引'!$B$5:$B$124,F$4)&gt;='参数与锚点'!$L$7))))</f>
        <v/>
      </c>
      <c r="AC11" s="161">
        <f>IF($A11="","",IF(G11="",0,MIN(G11,3+2*(SUMIFS('证据索引'!$I$5:$I$124,'证据索引'!$A$5:$A$124,$A11,'证据索引'!$B$5:$B$124,G$4)&gt;='参数与锚点'!$L$7))))</f>
        <v/>
      </c>
      <c r="AD11" s="161">
        <f>IF($A11="","",IF(H11="",0,MIN(H11,3+2*(SUMIFS('证据索引'!$I$5:$I$124,'证据索引'!$A$5:$A$124,$A11,'证据索引'!$B$5:$B$124,H$4)&gt;='参数与锚点'!$L$7))))</f>
        <v/>
      </c>
      <c r="AE11" s="161">
        <f>IF($A11="","",IF(I11="",0,MIN(I11,3+2*(SUMIFS('证据索引'!$I$5:$I$124,'证据索引'!$A$5:$A$124,$A11,'证据索引'!$B$5:$B$124,I$4)&gt;='参数与锚点'!$L$7))))</f>
        <v/>
      </c>
      <c r="AF11" s="161">
        <f>IF($A11="","",IF(J11="",0,MIN(J11,3+2*(SUMIFS('证据索引'!$I$5:$I$124,'证据索引'!$A$5:$A$124,$A11,'证据索引'!$B$5:$B$124,J$4)&gt;='参数与锚点'!$L$7))))</f>
        <v/>
      </c>
      <c r="AG11" s="161">
        <f>IF($A11="","",IF(K11="",0,MIN(K11,3+2*(SUMIFS('证据索引'!$I$5:$I$124,'证据索引'!$A$5:$A$124,$A11,'证据索引'!$B$5:$B$124,K$4)&gt;='参数与锚点'!$L$7))))</f>
        <v/>
      </c>
      <c r="AH11" s="161">
        <f>IF($A11="","",IF(L11="",0,MIN(L11,3+2*(SUMIFS('证据索引'!$I$5:$I$124,'证据索引'!$A$5:$A$124,$A11,'证据索引'!$B$5:$B$124,L$4)&gt;='参数与锚点'!$L$7))))</f>
        <v/>
      </c>
      <c r="AI11" s="161">
        <f>IF($A11="","",IF(M11="",0,MIN(M11,3+2*(SUMIFS('证据索引'!$I$5:$I$124,'证据索引'!$A$5:$A$124,$A11,'证据索引'!$B$5:$B$124,M$4)&gt;='参数与锚点'!$L$7))))</f>
        <v/>
      </c>
      <c r="AJ11" s="161">
        <f>IF($A11="","",IF(N11="",0,MIN(N11,3+2*(SUMIFS('证据索引'!$I$5:$I$124,'证据索引'!$A$5:$A$124,$A11,'证据索引'!$B$5:$B$124,N$4)&gt;='参数与锚点'!$L$7))))</f>
        <v/>
      </c>
      <c r="AK11" s="161">
        <f>IF($A11="","",SUMPRODUCT((C11:N11&gt;Y11:AJ11)*1))</f>
        <v/>
      </c>
    </row>
    <row r="12" ht="48" customHeight="1">
      <c r="A12" s="97" t="inlineStr">
        <is>
          <t>P08</t>
        </is>
      </c>
      <c r="B12" s="91" t="inlineStr">
        <is>
          <t>未评</t>
        </is>
      </c>
      <c r="C12" s="169" t="n"/>
      <c r="D12" s="169" t="n"/>
      <c r="E12" s="169" t="n"/>
      <c r="F12" s="169" t="n"/>
      <c r="G12" s="169" t="n"/>
      <c r="H12" s="169" t="n"/>
      <c r="I12" s="169" t="n"/>
      <c r="J12" s="169" t="n"/>
      <c r="K12" s="169" t="n"/>
      <c r="L12" s="169" t="n"/>
      <c r="M12" s="169" t="n"/>
      <c r="N12" s="169" t="n"/>
      <c r="O12" s="162">
        <f>IF(A12="","",(Y12*'参数与锚点'!$D$5+Z12*'参数与锚点'!$D$6)/5)</f>
        <v/>
      </c>
      <c r="P12" s="162">
        <f>IF(A12="","",(AA12*'参数与锚点'!$D$7+AB12*'参数与锚点'!$D$8)/5)</f>
        <v/>
      </c>
      <c r="Q12" s="162">
        <f>IF(A12="","",(AC12*'参数与锚点'!$D$9+AD12*'参数与锚点'!$D$10)/5)</f>
        <v/>
      </c>
      <c r="R12" s="162">
        <f>IF(A12="","",(AE12*'参数与锚点'!$D$11+AF12*'参数与锚点'!$D$12)/5)</f>
        <v/>
      </c>
      <c r="S12" s="162">
        <f>IF(A12="","",(AG12*'参数与锚点'!$D$13+AH12*'参数与锚点'!$D$14)/5)</f>
        <v/>
      </c>
      <c r="T12" s="162">
        <f>IF(A12="","",(AI12*'参数与锚点'!$D$15+AJ12*'参数与锚点'!$D$16)/5)</f>
        <v/>
      </c>
      <c r="U12" s="162">
        <f>IF(A12="","",SUM(O12:T12))</f>
        <v/>
      </c>
      <c r="V12" s="163">
        <f>IF(A12="","",COUNT(C12:N12)/12)</f>
        <v/>
      </c>
      <c r="W12" s="91" t="n"/>
      <c r="X12" s="91" t="n"/>
      <c r="Y12" s="161">
        <f>IF($A12="","",IF(C12="",0,MIN(C12,3+2*(SUMIFS('证据索引'!$I$5:$I$124,'证据索引'!$A$5:$A$124,$A12,'证据索引'!$B$5:$B$124,C$4)&gt;='参数与锚点'!$L$7))))</f>
        <v/>
      </c>
      <c r="Z12" s="161">
        <f>IF($A12="","",IF(D12="",0,MIN(D12,3+2*(SUMIFS('证据索引'!$I$5:$I$124,'证据索引'!$A$5:$A$124,$A12,'证据索引'!$B$5:$B$124,D$4)&gt;='参数与锚点'!$L$7))))</f>
        <v/>
      </c>
      <c r="AA12" s="161">
        <f>IF($A12="","",IF(E12="",0,MIN(E12,3+2*(SUMIFS('证据索引'!$I$5:$I$124,'证据索引'!$A$5:$A$124,$A12,'证据索引'!$B$5:$B$124,E$4)&gt;='参数与锚点'!$L$7))))</f>
        <v/>
      </c>
      <c r="AB12" s="161">
        <f>IF($A12="","",IF(F12="",0,MIN(F12,3+2*(SUMIFS('证据索引'!$I$5:$I$124,'证据索引'!$A$5:$A$124,$A12,'证据索引'!$B$5:$B$124,F$4)&gt;='参数与锚点'!$L$7))))</f>
        <v/>
      </c>
      <c r="AC12" s="161">
        <f>IF($A12="","",IF(G12="",0,MIN(G12,3+2*(SUMIFS('证据索引'!$I$5:$I$124,'证据索引'!$A$5:$A$124,$A12,'证据索引'!$B$5:$B$124,G$4)&gt;='参数与锚点'!$L$7))))</f>
        <v/>
      </c>
      <c r="AD12" s="161">
        <f>IF($A12="","",IF(H12="",0,MIN(H12,3+2*(SUMIFS('证据索引'!$I$5:$I$124,'证据索引'!$A$5:$A$124,$A12,'证据索引'!$B$5:$B$124,H$4)&gt;='参数与锚点'!$L$7))))</f>
        <v/>
      </c>
      <c r="AE12" s="161">
        <f>IF($A12="","",IF(I12="",0,MIN(I12,3+2*(SUMIFS('证据索引'!$I$5:$I$124,'证据索引'!$A$5:$A$124,$A12,'证据索引'!$B$5:$B$124,I$4)&gt;='参数与锚点'!$L$7))))</f>
        <v/>
      </c>
      <c r="AF12" s="161">
        <f>IF($A12="","",IF(J12="",0,MIN(J12,3+2*(SUMIFS('证据索引'!$I$5:$I$124,'证据索引'!$A$5:$A$124,$A12,'证据索引'!$B$5:$B$124,J$4)&gt;='参数与锚点'!$L$7))))</f>
        <v/>
      </c>
      <c r="AG12" s="161">
        <f>IF($A12="","",IF(K12="",0,MIN(K12,3+2*(SUMIFS('证据索引'!$I$5:$I$124,'证据索引'!$A$5:$A$124,$A12,'证据索引'!$B$5:$B$124,K$4)&gt;='参数与锚点'!$L$7))))</f>
        <v/>
      </c>
      <c r="AH12" s="161">
        <f>IF($A12="","",IF(L12="",0,MIN(L12,3+2*(SUMIFS('证据索引'!$I$5:$I$124,'证据索引'!$A$5:$A$124,$A12,'证据索引'!$B$5:$B$124,L$4)&gt;='参数与锚点'!$L$7))))</f>
        <v/>
      </c>
      <c r="AI12" s="161">
        <f>IF($A12="","",IF(M12="",0,MIN(M12,3+2*(SUMIFS('证据索引'!$I$5:$I$124,'证据索引'!$A$5:$A$124,$A12,'证据索引'!$B$5:$B$124,M$4)&gt;='参数与锚点'!$L$7))))</f>
        <v/>
      </c>
      <c r="AJ12" s="161">
        <f>IF($A12="","",IF(N12="",0,MIN(N12,3+2*(SUMIFS('证据索引'!$I$5:$I$124,'证据索引'!$A$5:$A$124,$A12,'证据索引'!$B$5:$B$124,N$4)&gt;='参数与锚点'!$L$7))))</f>
        <v/>
      </c>
      <c r="AK12" s="161">
        <f>IF($A12="","",SUMPRODUCT((C12:N12&gt;Y12:AJ12)*1))</f>
        <v/>
      </c>
    </row>
    <row r="13" ht="48" customHeight="1">
      <c r="A13" s="97" t="inlineStr">
        <is>
          <t>P09</t>
        </is>
      </c>
      <c r="B13" s="91" t="inlineStr">
        <is>
          <t>未评</t>
        </is>
      </c>
      <c r="C13" s="169" t="n"/>
      <c r="D13" s="169" t="n"/>
      <c r="E13" s="169" t="n"/>
      <c r="F13" s="169" t="n"/>
      <c r="G13" s="169" t="n"/>
      <c r="H13" s="169" t="n"/>
      <c r="I13" s="169" t="n"/>
      <c r="J13" s="169" t="n"/>
      <c r="K13" s="169" t="n"/>
      <c r="L13" s="169" t="n"/>
      <c r="M13" s="169" t="n"/>
      <c r="N13" s="169" t="n"/>
      <c r="O13" s="162">
        <f>IF(A13="","",(Y13*'参数与锚点'!$D$5+Z13*'参数与锚点'!$D$6)/5)</f>
        <v/>
      </c>
      <c r="P13" s="162">
        <f>IF(A13="","",(AA13*'参数与锚点'!$D$7+AB13*'参数与锚点'!$D$8)/5)</f>
        <v/>
      </c>
      <c r="Q13" s="162">
        <f>IF(A13="","",(AC13*'参数与锚点'!$D$9+AD13*'参数与锚点'!$D$10)/5)</f>
        <v/>
      </c>
      <c r="R13" s="162">
        <f>IF(A13="","",(AE13*'参数与锚点'!$D$11+AF13*'参数与锚点'!$D$12)/5)</f>
        <v/>
      </c>
      <c r="S13" s="162">
        <f>IF(A13="","",(AG13*'参数与锚点'!$D$13+AH13*'参数与锚点'!$D$14)/5)</f>
        <v/>
      </c>
      <c r="T13" s="162">
        <f>IF(A13="","",(AI13*'参数与锚点'!$D$15+AJ13*'参数与锚点'!$D$16)/5)</f>
        <v/>
      </c>
      <c r="U13" s="162">
        <f>IF(A13="","",SUM(O13:T13))</f>
        <v/>
      </c>
      <c r="V13" s="163">
        <f>IF(A13="","",COUNT(C13:N13)/12)</f>
        <v/>
      </c>
      <c r="W13" s="91" t="n"/>
      <c r="X13" s="91" t="n"/>
      <c r="Y13" s="161">
        <f>IF($A13="","",IF(C13="",0,MIN(C13,3+2*(SUMIFS('证据索引'!$I$5:$I$124,'证据索引'!$A$5:$A$124,$A13,'证据索引'!$B$5:$B$124,C$4)&gt;='参数与锚点'!$L$7))))</f>
        <v/>
      </c>
      <c r="Z13" s="161">
        <f>IF($A13="","",IF(D13="",0,MIN(D13,3+2*(SUMIFS('证据索引'!$I$5:$I$124,'证据索引'!$A$5:$A$124,$A13,'证据索引'!$B$5:$B$124,D$4)&gt;='参数与锚点'!$L$7))))</f>
        <v/>
      </c>
      <c r="AA13" s="161">
        <f>IF($A13="","",IF(E13="",0,MIN(E13,3+2*(SUMIFS('证据索引'!$I$5:$I$124,'证据索引'!$A$5:$A$124,$A13,'证据索引'!$B$5:$B$124,E$4)&gt;='参数与锚点'!$L$7))))</f>
        <v/>
      </c>
      <c r="AB13" s="161">
        <f>IF($A13="","",IF(F13="",0,MIN(F13,3+2*(SUMIFS('证据索引'!$I$5:$I$124,'证据索引'!$A$5:$A$124,$A13,'证据索引'!$B$5:$B$124,F$4)&gt;='参数与锚点'!$L$7))))</f>
        <v/>
      </c>
      <c r="AC13" s="161">
        <f>IF($A13="","",IF(G13="",0,MIN(G13,3+2*(SUMIFS('证据索引'!$I$5:$I$124,'证据索引'!$A$5:$A$124,$A13,'证据索引'!$B$5:$B$124,G$4)&gt;='参数与锚点'!$L$7))))</f>
        <v/>
      </c>
      <c r="AD13" s="161">
        <f>IF($A13="","",IF(H13="",0,MIN(H13,3+2*(SUMIFS('证据索引'!$I$5:$I$124,'证据索引'!$A$5:$A$124,$A13,'证据索引'!$B$5:$B$124,H$4)&gt;='参数与锚点'!$L$7))))</f>
        <v/>
      </c>
      <c r="AE13" s="161">
        <f>IF($A13="","",IF(I13="",0,MIN(I13,3+2*(SUMIFS('证据索引'!$I$5:$I$124,'证据索引'!$A$5:$A$124,$A13,'证据索引'!$B$5:$B$124,I$4)&gt;='参数与锚点'!$L$7))))</f>
        <v/>
      </c>
      <c r="AF13" s="161">
        <f>IF($A13="","",IF(J13="",0,MIN(J13,3+2*(SUMIFS('证据索引'!$I$5:$I$124,'证据索引'!$A$5:$A$124,$A13,'证据索引'!$B$5:$B$124,J$4)&gt;='参数与锚点'!$L$7))))</f>
        <v/>
      </c>
      <c r="AG13" s="161">
        <f>IF($A13="","",IF(K13="",0,MIN(K13,3+2*(SUMIFS('证据索引'!$I$5:$I$124,'证据索引'!$A$5:$A$124,$A13,'证据索引'!$B$5:$B$124,K$4)&gt;='参数与锚点'!$L$7))))</f>
        <v/>
      </c>
      <c r="AH13" s="161">
        <f>IF($A13="","",IF(L13="",0,MIN(L13,3+2*(SUMIFS('证据索引'!$I$5:$I$124,'证据索引'!$A$5:$A$124,$A13,'证据索引'!$B$5:$B$124,L$4)&gt;='参数与锚点'!$L$7))))</f>
        <v/>
      </c>
      <c r="AI13" s="161">
        <f>IF($A13="","",IF(M13="",0,MIN(M13,3+2*(SUMIFS('证据索引'!$I$5:$I$124,'证据索引'!$A$5:$A$124,$A13,'证据索引'!$B$5:$B$124,M$4)&gt;='参数与锚点'!$L$7))))</f>
        <v/>
      </c>
      <c r="AJ13" s="161">
        <f>IF($A13="","",IF(N13="",0,MIN(N13,3+2*(SUMIFS('证据索引'!$I$5:$I$124,'证据索引'!$A$5:$A$124,$A13,'证据索引'!$B$5:$B$124,N$4)&gt;='参数与锚点'!$L$7))))</f>
        <v/>
      </c>
      <c r="AK13" s="161">
        <f>IF($A13="","",SUMPRODUCT((C13:N13&gt;Y13:AJ13)*1))</f>
        <v/>
      </c>
    </row>
    <row r="14" ht="48" customHeight="1">
      <c r="A14" s="98" t="inlineStr">
        <is>
          <t>P10</t>
        </is>
      </c>
      <c r="B14" s="92" t="inlineStr">
        <is>
          <t>未评</t>
        </is>
      </c>
      <c r="C14" s="170" t="n"/>
      <c r="D14" s="170" t="n"/>
      <c r="E14" s="170" t="n"/>
      <c r="F14" s="170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65">
        <f>IF(A14="","",(Y14*'参数与锚点'!$D$5+Z14*'参数与锚点'!$D$6)/5)</f>
        <v/>
      </c>
      <c r="P14" s="165">
        <f>IF(A14="","",(AA14*'参数与锚点'!$D$7+AB14*'参数与锚点'!$D$8)/5)</f>
        <v/>
      </c>
      <c r="Q14" s="165">
        <f>IF(A14="","",(AC14*'参数与锚点'!$D$9+AD14*'参数与锚点'!$D$10)/5)</f>
        <v/>
      </c>
      <c r="R14" s="165">
        <f>IF(A14="","",(AE14*'参数与锚点'!$D$11+AF14*'参数与锚点'!$D$12)/5)</f>
        <v/>
      </c>
      <c r="S14" s="165">
        <f>IF(A14="","",(AG14*'参数与锚点'!$D$13+AH14*'参数与锚点'!$D$14)/5)</f>
        <v/>
      </c>
      <c r="T14" s="165">
        <f>IF(A14="","",(AI14*'参数与锚点'!$D$15+AJ14*'参数与锚点'!$D$16)/5)</f>
        <v/>
      </c>
      <c r="U14" s="165">
        <f>IF(A14="","",SUM(O14:T14))</f>
        <v/>
      </c>
      <c r="V14" s="166">
        <f>IF(A14="","",COUNT(C14:N14)/12)</f>
        <v/>
      </c>
      <c r="W14" s="92" t="n"/>
      <c r="X14" s="92" t="n"/>
      <c r="Y14" s="161">
        <f>IF($A14="","",IF(C14="",0,MIN(C14,3+2*(SUMIFS('证据索引'!$I$5:$I$124,'证据索引'!$A$5:$A$124,$A14,'证据索引'!$B$5:$B$124,C$4)&gt;='参数与锚点'!$L$7))))</f>
        <v/>
      </c>
      <c r="Z14" s="161">
        <f>IF($A14="","",IF(D14="",0,MIN(D14,3+2*(SUMIFS('证据索引'!$I$5:$I$124,'证据索引'!$A$5:$A$124,$A14,'证据索引'!$B$5:$B$124,D$4)&gt;='参数与锚点'!$L$7))))</f>
        <v/>
      </c>
      <c r="AA14" s="161">
        <f>IF($A14="","",IF(E14="",0,MIN(E14,3+2*(SUMIFS('证据索引'!$I$5:$I$124,'证据索引'!$A$5:$A$124,$A14,'证据索引'!$B$5:$B$124,E$4)&gt;='参数与锚点'!$L$7))))</f>
        <v/>
      </c>
      <c r="AB14" s="161">
        <f>IF($A14="","",IF(F14="",0,MIN(F14,3+2*(SUMIFS('证据索引'!$I$5:$I$124,'证据索引'!$A$5:$A$124,$A14,'证据索引'!$B$5:$B$124,F$4)&gt;='参数与锚点'!$L$7))))</f>
        <v/>
      </c>
      <c r="AC14" s="161">
        <f>IF($A14="","",IF(G14="",0,MIN(G14,3+2*(SUMIFS('证据索引'!$I$5:$I$124,'证据索引'!$A$5:$A$124,$A14,'证据索引'!$B$5:$B$124,G$4)&gt;='参数与锚点'!$L$7))))</f>
        <v/>
      </c>
      <c r="AD14" s="161">
        <f>IF($A14="","",IF(H14="",0,MIN(H14,3+2*(SUMIFS('证据索引'!$I$5:$I$124,'证据索引'!$A$5:$A$124,$A14,'证据索引'!$B$5:$B$124,H$4)&gt;='参数与锚点'!$L$7))))</f>
        <v/>
      </c>
      <c r="AE14" s="161">
        <f>IF($A14="","",IF(I14="",0,MIN(I14,3+2*(SUMIFS('证据索引'!$I$5:$I$124,'证据索引'!$A$5:$A$124,$A14,'证据索引'!$B$5:$B$124,I$4)&gt;='参数与锚点'!$L$7))))</f>
        <v/>
      </c>
      <c r="AF14" s="161">
        <f>IF($A14="","",IF(J14="",0,MIN(J14,3+2*(SUMIFS('证据索引'!$I$5:$I$124,'证据索引'!$A$5:$A$124,$A14,'证据索引'!$B$5:$B$124,J$4)&gt;='参数与锚点'!$L$7))))</f>
        <v/>
      </c>
      <c r="AG14" s="161">
        <f>IF($A14="","",IF(K14="",0,MIN(K14,3+2*(SUMIFS('证据索引'!$I$5:$I$124,'证据索引'!$A$5:$A$124,$A14,'证据索引'!$B$5:$B$124,K$4)&gt;='参数与锚点'!$L$7))))</f>
        <v/>
      </c>
      <c r="AH14" s="161">
        <f>IF($A14="","",IF(L14="",0,MIN(L14,3+2*(SUMIFS('证据索引'!$I$5:$I$124,'证据索引'!$A$5:$A$124,$A14,'证据索引'!$B$5:$B$124,L$4)&gt;='参数与锚点'!$L$7))))</f>
        <v/>
      </c>
      <c r="AI14" s="161">
        <f>IF($A14="","",IF(M14="",0,MIN(M14,3+2*(SUMIFS('证据索引'!$I$5:$I$124,'证据索引'!$A$5:$A$124,$A14,'证据索引'!$B$5:$B$124,M$4)&gt;='参数与锚点'!$L$7))))</f>
        <v/>
      </c>
      <c r="AJ14" s="161">
        <f>IF($A14="","",IF(N14="",0,MIN(N14,3+2*(SUMIFS('证据索引'!$I$5:$I$124,'证据索引'!$A$5:$A$124,$A14,'证据索引'!$B$5:$B$124,N$4)&gt;='参数与锚点'!$L$7))))</f>
        <v/>
      </c>
      <c r="AK14" s="161">
        <f>IF($A14="","",SUMPRODUCT((C14:N14&gt;Y14:AJ14)*1))</f>
        <v/>
      </c>
    </row>
  </sheetData>
  <mergeCells count="2">
    <mergeCell ref="A2:X2"/>
    <mergeCell ref="A1:X1"/>
  </mergeCells>
  <conditionalFormatting sqref="C5:N14">
    <cfRule type="colorScale" priority="1">
      <colorScale>
        <cfvo type="min"/>
        <cfvo type="percentile" val="50"/>
        <cfvo type="max"/>
        <color rgb="FFFDECEC"/>
        <color rgb="FFFFF7E6"/>
        <color rgb="FFEAF7ED"/>
      </colorScale>
    </cfRule>
  </conditionalFormatting>
  <conditionalFormatting sqref="U5:U14">
    <cfRule type="dataBar" priority="2">
      <dataBar>
        <cfvo type="min"/>
        <cfvo type="max"/>
        <color rgb="FF1D4ED8"/>
      </dataBar>
    </cfRule>
  </conditionalFormatting>
  <conditionalFormatting sqref="V5:V14">
    <cfRule type="dataBar" priority="3">
      <dataBar>
        <cfvo type="min"/>
        <cfvo type="max"/>
        <color rgb="FF0F766E"/>
      </dataBar>
    </cfRule>
  </conditionalFormatting>
  <conditionalFormatting sqref="B5:B14">
    <cfRule type="containsText" priority="4" operator="containsText" dxfId="0" text="已达成共识"/>
    <cfRule type="containsText" priority="5" operator="containsText" dxfId="1" text="评审中"/>
  </conditionalFormatting>
  <dataValidations count="3">
    <dataValidation sqref="A5:A14" showDropDown="0" showInputMessage="0" showErrorMessage="0" allowBlank="0" type="list">
      <formula1>'项目清单'!$A$5:$A$14</formula1>
    </dataValidation>
    <dataValidation sqref="B5:B14" showDropDown="0" showInputMessage="0" showErrorMessage="0" allowBlank="0" type="list">
      <formula1>"未评,评审中,已达成共识"</formula1>
    </dataValidation>
    <dataValidation sqref="C5:N14" showDropDown="0" showInputMessage="0" showErrorMessage="0" allowBlank="0" type="whole" operator="between">
      <formula1>0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3" customWidth="1" min="4" max="4"/>
    <col width="38" customWidth="1" min="5" max="5"/>
    <col width="36" customWidth="1" min="6" max="6"/>
    <col width="15" customWidth="1" min="7" max="7"/>
    <col width="13" customWidth="1" min="8" max="8"/>
    <col width="12" customWidth="1" min="9" max="9"/>
  </cols>
  <sheetData>
    <row r="1" ht="34" customHeight="1">
      <c r="A1" s="4" t="inlineStr">
        <is>
          <t>证据索引</t>
        </is>
      </c>
    </row>
    <row r="2" ht="30" customHeight="1">
      <c r="A2" s="9" t="inlineStr">
        <is>
          <t>每个项目 × 每个评分项一行。证据状态会转换为0%/25%/60%/100%，项目证据强度取12项平均；高分不能替代证据。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</row>
    <row r="4" ht="32" customHeight="1">
      <c r="A4" s="23" t="inlineStr">
        <is>
          <t>项目ID</t>
        </is>
      </c>
      <c r="B4" s="24" t="inlineStr">
        <is>
          <t>评分项ID</t>
        </is>
      </c>
      <c r="C4" s="24" t="inlineStr">
        <is>
          <t>评分项</t>
        </is>
      </c>
      <c r="D4" s="24" t="inlineStr">
        <is>
          <t>证据状态</t>
        </is>
      </c>
      <c r="E4" s="24" t="inlineStr">
        <is>
          <t>证据摘要</t>
        </is>
      </c>
      <c r="F4" s="24" t="inlineStr">
        <is>
          <t>来源URL/路径</t>
        </is>
      </c>
      <c r="G4" s="24" t="inlineStr">
        <is>
          <t>负责人</t>
        </is>
      </c>
      <c r="H4" s="24" t="inlineStr">
        <is>
          <t>复验日期</t>
        </is>
      </c>
      <c r="I4" s="25" t="inlineStr">
        <is>
          <t>证据系数</t>
        </is>
      </c>
    </row>
    <row r="5" ht="33" customHeight="1">
      <c r="A5" s="30" t="inlineStr">
        <is>
          <t>P01</t>
        </is>
      </c>
      <c r="B5" s="30" t="inlineStr">
        <is>
          <t>C1</t>
        </is>
      </c>
      <c r="C5" s="30" t="inlineStr">
        <is>
          <t>痛点强度与用户清晰度</t>
        </is>
      </c>
      <c r="D5" s="90" t="inlineStr">
        <is>
          <t>有来源</t>
        </is>
      </c>
      <c r="E5" s="90" t="inlineStr">
        <is>
          <t>演示占位：正式评审时替换为可核验事实</t>
        </is>
      </c>
      <c r="F5" s="90" t="inlineStr">
        <is>
          <t>请替换为真实URL或仓库路径</t>
        </is>
      </c>
      <c r="G5" s="90" t="inlineStr">
        <is>
          <t>待分配</t>
        </is>
      </c>
      <c r="H5" s="171" t="n"/>
      <c r="I5" s="160">
        <f>IFERROR(VLOOKUP(D5,'参数与锚点'!$K$5:$L$8,2,FALSE),0)</f>
        <v/>
      </c>
    </row>
    <row r="6" ht="33" customHeight="1">
      <c r="A6" s="31" t="inlineStr">
        <is>
          <t>P01</t>
        </is>
      </c>
      <c r="B6" s="31" t="inlineStr">
        <is>
          <t>C2</t>
        </is>
      </c>
      <c r="C6" s="31" t="inlineStr">
        <is>
          <t>付费方、价值与扩展路径</t>
        </is>
      </c>
      <c r="D6" s="91" t="inlineStr">
        <is>
          <t>假设</t>
        </is>
      </c>
      <c r="E6" s="91" t="inlineStr">
        <is>
          <t>演示占位：正式评审时替换为可核验事实</t>
        </is>
      </c>
      <c r="F6" s="91" t="inlineStr">
        <is>
          <t>请替换为真实URL或仓库路径</t>
        </is>
      </c>
      <c r="G6" s="91" t="inlineStr">
        <is>
          <t>待分配</t>
        </is>
      </c>
      <c r="H6" s="172" t="n"/>
      <c r="I6" s="163">
        <f>IFERROR(VLOOKUP(D6,'参数与锚点'!$K$5:$L$8,2,FALSE),0)</f>
        <v/>
      </c>
    </row>
    <row r="7" ht="33" customHeight="1">
      <c r="A7" s="31" t="inlineStr">
        <is>
          <t>P01</t>
        </is>
      </c>
      <c r="B7" s="31" t="inlineStr">
        <is>
          <t>C3</t>
        </is>
      </c>
      <c r="C7" s="31" t="inlineStr">
        <is>
          <t>场景具体性与深度优先</t>
        </is>
      </c>
      <c r="D7" s="91" t="inlineStr">
        <is>
          <t>有来源</t>
        </is>
      </c>
      <c r="E7" s="91" t="inlineStr">
        <is>
          <t>演示占位：正式评审时替换为可核验事实</t>
        </is>
      </c>
      <c r="F7" s="91" t="inlineStr">
        <is>
          <t>请替换为真实URL或仓库路径</t>
        </is>
      </c>
      <c r="G7" s="91" t="inlineStr">
        <is>
          <t>待分配</t>
        </is>
      </c>
      <c r="H7" s="172" t="n"/>
      <c r="I7" s="163">
        <f>IFERROR(VLOOKUP(D7,'参数与锚点'!$K$5:$L$8,2,FALSE),0)</f>
        <v/>
      </c>
    </row>
    <row r="8" ht="33" customHeight="1">
      <c r="A8" s="31" t="inlineStr">
        <is>
          <t>P01</t>
        </is>
      </c>
      <c r="B8" s="31" t="inlineStr">
        <is>
          <t>C4</t>
        </is>
      </c>
      <c r="C8" s="31" t="inlineStr">
        <is>
          <t>行动性与实际结果</t>
        </is>
      </c>
      <c r="D8" s="91" t="inlineStr">
        <is>
          <t>假设</t>
        </is>
      </c>
      <c r="E8" s="91" t="inlineStr">
        <is>
          <t>演示占位：正式评审时替换为可核验事实</t>
        </is>
      </c>
      <c r="F8" s="91" t="inlineStr">
        <is>
          <t>请替换为真实URL或仓库路径</t>
        </is>
      </c>
      <c r="G8" s="91" t="inlineStr">
        <is>
          <t>待分配</t>
        </is>
      </c>
      <c r="H8" s="172" t="n"/>
      <c r="I8" s="163">
        <f>IFERROR(VLOOKUP(D8,'参数与锚点'!$K$5:$L$8,2,FALSE),0)</f>
        <v/>
      </c>
    </row>
    <row r="9" ht="33" customHeight="1">
      <c r="A9" s="31" t="inlineStr">
        <is>
          <t>P01</t>
        </is>
      </c>
      <c r="B9" s="31" t="inlineStr">
        <is>
          <t>C5</t>
        </is>
      </c>
      <c r="C9" s="31" t="inlineStr">
        <is>
          <t>Spark不可替代性</t>
        </is>
      </c>
      <c r="D9" s="91" t="inlineStr">
        <is>
          <t>有来源</t>
        </is>
      </c>
      <c r="E9" s="91" t="inlineStr">
        <is>
          <t>演示占位：正式评审时替换为可核验事实</t>
        </is>
      </c>
      <c r="F9" s="91" t="inlineStr">
        <is>
          <t>请替换为真实URL或仓库路径</t>
        </is>
      </c>
      <c r="G9" s="91" t="inlineStr">
        <is>
          <t>待分配</t>
        </is>
      </c>
      <c r="H9" s="172" t="n"/>
      <c r="I9" s="163">
        <f>IFERROR(VLOOKUP(D9,'参数与锚点'!$K$5:$L$8,2,FALSE),0)</f>
        <v/>
      </c>
    </row>
    <row r="10" ht="33" customHeight="1">
      <c r="A10" s="31" t="inlineStr">
        <is>
          <t>P01</t>
        </is>
      </c>
      <c r="B10" s="31" t="inlineStr">
        <is>
          <t>C6</t>
        </is>
      </c>
      <c r="C10" s="31" t="inlineStr">
        <is>
          <t>能力互补与时间状态价值</t>
        </is>
      </c>
      <c r="D10" s="91" t="inlineStr">
        <is>
          <t>假设</t>
        </is>
      </c>
      <c r="E10" s="91" t="inlineStr">
        <is>
          <t>演示占位：正式评审时替换为可核验事实</t>
        </is>
      </c>
      <c r="F10" s="91" t="inlineStr">
        <is>
          <t>请替换为真实URL或仓库路径</t>
        </is>
      </c>
      <c r="G10" s="91" t="inlineStr">
        <is>
          <t>待分配</t>
        </is>
      </c>
      <c r="H10" s="172" t="n"/>
      <c r="I10" s="163">
        <f>IFERROR(VLOOKUP(D10,'参数与锚点'!$K$5:$L$8,2,FALSE),0)</f>
        <v/>
      </c>
    </row>
    <row r="11" ht="33" customHeight="1">
      <c r="A11" s="31" t="inlineStr">
        <is>
          <t>P01</t>
        </is>
      </c>
      <c r="B11" s="31" t="inlineStr">
        <is>
          <t>C7</t>
        </is>
      </c>
      <c r="C11" s="31" t="inlineStr">
        <is>
          <t>核心价值闭环≤90秒</t>
        </is>
      </c>
      <c r="D11" s="91" t="inlineStr">
        <is>
          <t>有来源</t>
        </is>
      </c>
      <c r="E11" s="91" t="inlineStr">
        <is>
          <t>演示占位：正式评审时替换为可核验事实</t>
        </is>
      </c>
      <c r="F11" s="91" t="inlineStr">
        <is>
          <t>请替换为真实URL或仓库路径</t>
        </is>
      </c>
      <c r="G11" s="91" t="inlineStr">
        <is>
          <t>待分配</t>
        </is>
      </c>
      <c r="H11" s="172" t="n"/>
      <c r="I11" s="163">
        <f>IFERROR(VLOOKUP(D11,'参数与锚点'!$K$5:$L$8,2,FALSE),0)</f>
        <v/>
      </c>
    </row>
    <row r="12" ht="33" customHeight="1">
      <c r="A12" s="31" t="inlineStr">
        <is>
          <t>P01</t>
        </is>
      </c>
      <c r="B12" s="31" t="inlineStr">
        <is>
          <t>C8</t>
        </is>
      </c>
      <c r="C12" s="31" t="inlineStr">
        <is>
          <t>可视化、直观性与wow</t>
        </is>
      </c>
      <c r="D12" s="91" t="inlineStr">
        <is>
          <t>有来源</t>
        </is>
      </c>
      <c r="E12" s="91" t="inlineStr">
        <is>
          <t>演示占位：正式评审时替换为可核验事实</t>
        </is>
      </c>
      <c r="F12" s="91" t="inlineStr">
        <is>
          <t>请替换为真实URL或仓库路径</t>
        </is>
      </c>
      <c r="G12" s="91" t="inlineStr">
        <is>
          <t>待分配</t>
        </is>
      </c>
      <c r="H12" s="172" t="n"/>
      <c r="I12" s="163">
        <f>IFERROR(VLOOKUP(D12,'参数与锚点'!$K$5:$L$8,2,FALSE),0)</f>
        <v/>
      </c>
    </row>
    <row r="13" ht="33" customHeight="1">
      <c r="A13" s="31" t="inlineStr">
        <is>
          <t>P01</t>
        </is>
      </c>
      <c r="B13" s="31" t="inlineStr">
        <is>
          <t>C9</t>
        </is>
      </c>
      <c r="C13" s="31" t="inlineStr">
        <is>
          <t>数据可信、合法与可获得</t>
        </is>
      </c>
      <c r="D13" s="91" t="inlineStr">
        <is>
          <t>有来源</t>
        </is>
      </c>
      <c r="E13" s="91" t="inlineStr">
        <is>
          <t>演示占位：正式评审时替换为可核验事实</t>
        </is>
      </c>
      <c r="F13" s="91" t="inlineStr">
        <is>
          <t>请替换为真实URL或仓库路径</t>
        </is>
      </c>
      <c r="G13" s="91" t="inlineStr">
        <is>
          <t>待分配</t>
        </is>
      </c>
      <c r="H13" s="172" t="n"/>
      <c r="I13" s="163">
        <f>IFERROR(VLOOKUP(D13,'参数与锚点'!$K$5:$L$8,2,FALSE),0)</f>
        <v/>
      </c>
    </row>
    <row r="14" ht="33" customHeight="1">
      <c r="A14" s="31" t="inlineStr">
        <is>
          <t>P01</t>
        </is>
      </c>
      <c r="B14" s="31" t="inlineStr">
        <is>
          <t>C10</t>
        </is>
      </c>
      <c r="C14" s="31" t="inlineStr">
        <is>
          <t>异常定义、指标与透明审计</t>
        </is>
      </c>
      <c r="D14" s="91" t="inlineStr">
        <is>
          <t>假设</t>
        </is>
      </c>
      <c r="E14" s="91" t="inlineStr">
        <is>
          <t>演示占位：正式评审时替换为可核验事实</t>
        </is>
      </c>
      <c r="F14" s="91" t="inlineStr">
        <is>
          <t>请替换为真实URL或仓库路径</t>
        </is>
      </c>
      <c r="G14" s="91" t="inlineStr">
        <is>
          <t>待分配</t>
        </is>
      </c>
      <c r="H14" s="172" t="n"/>
      <c r="I14" s="163">
        <f>IFERROR(VLOOKUP(D14,'参数与锚点'!$K$5:$L$8,2,FALSE),0)</f>
        <v/>
      </c>
    </row>
    <row r="15" ht="33" customHeight="1">
      <c r="A15" s="31" t="inlineStr">
        <is>
          <t>P01</t>
        </is>
      </c>
      <c r="B15" s="31" t="inlineStr">
        <is>
          <t>C11</t>
        </is>
      </c>
      <c r="C15" s="31" t="inlineStr">
        <is>
          <t>前72h最小端到端链路</t>
        </is>
      </c>
      <c r="D15" s="91" t="inlineStr">
        <is>
          <t>有来源</t>
        </is>
      </c>
      <c r="E15" s="91" t="inlineStr">
        <is>
          <t>演示占位：正式评审时替换为可核验事实</t>
        </is>
      </c>
      <c r="F15" s="91" t="inlineStr">
        <is>
          <t>请替换为真实URL或仓库路径</t>
        </is>
      </c>
      <c r="G15" s="91" t="inlineStr">
        <is>
          <t>待分配</t>
        </is>
      </c>
      <c r="H15" s="172" t="n"/>
      <c r="I15" s="163">
        <f>IFERROR(VLOOKUP(D15,'参数与锚点'!$K$5:$L$8,2,FALSE),0)</f>
        <v/>
      </c>
    </row>
    <row r="16" ht="33" customHeight="1">
      <c r="A16" s="31" t="inlineStr">
        <is>
          <t>P01</t>
        </is>
      </c>
      <c r="B16" s="31" t="inlineStr">
        <is>
          <t>C12</t>
        </is>
      </c>
      <c r="C16" s="31" t="inlineStr">
        <is>
          <t>技术风险、资源预算与降级</t>
        </is>
      </c>
      <c r="D16" s="91" t="inlineStr">
        <is>
          <t>假设</t>
        </is>
      </c>
      <c r="E16" s="91" t="inlineStr">
        <is>
          <t>演示占位：正式评审时替换为可核验事实</t>
        </is>
      </c>
      <c r="F16" s="91" t="inlineStr">
        <is>
          <t>请替换为真实URL或仓库路径</t>
        </is>
      </c>
      <c r="G16" s="91" t="inlineStr">
        <is>
          <t>待分配</t>
        </is>
      </c>
      <c r="H16" s="172" t="n"/>
      <c r="I16" s="163">
        <f>IFERROR(VLOOKUP(D16,'参数与锚点'!$K$5:$L$8,2,FALSE),0)</f>
        <v/>
      </c>
    </row>
    <row r="17" ht="33" customHeight="1">
      <c r="A17" s="31" t="inlineStr">
        <is>
          <t>P02</t>
        </is>
      </c>
      <c r="B17" s="31" t="inlineStr">
        <is>
          <t>C1</t>
        </is>
      </c>
      <c r="C17" s="31" t="inlineStr">
        <is>
          <t>痛点强度与用户清晰度</t>
        </is>
      </c>
      <c r="D17" s="91" t="inlineStr">
        <is>
          <t>有来源</t>
        </is>
      </c>
      <c r="E17" s="91" t="inlineStr">
        <is>
          <t>演示占位：正式评审时替换为可核验事实</t>
        </is>
      </c>
      <c r="F17" s="91" t="inlineStr">
        <is>
          <t>请替换为真实URL或仓库路径</t>
        </is>
      </c>
      <c r="G17" s="91" t="inlineStr">
        <is>
          <t>待分配</t>
        </is>
      </c>
      <c r="H17" s="172" t="n"/>
      <c r="I17" s="163">
        <f>IFERROR(VLOOKUP(D17,'参数与锚点'!$K$5:$L$8,2,FALSE),0)</f>
        <v/>
      </c>
    </row>
    <row r="18" ht="33" customHeight="1">
      <c r="A18" s="31" t="inlineStr">
        <is>
          <t>P02</t>
        </is>
      </c>
      <c r="B18" s="31" t="inlineStr">
        <is>
          <t>C2</t>
        </is>
      </c>
      <c r="C18" s="31" t="inlineStr">
        <is>
          <t>付费方、价值与扩展路径</t>
        </is>
      </c>
      <c r="D18" s="91" t="inlineStr">
        <is>
          <t>假设</t>
        </is>
      </c>
      <c r="E18" s="91" t="inlineStr">
        <is>
          <t>演示占位：正式评审时替换为可核验事实</t>
        </is>
      </c>
      <c r="F18" s="91" t="inlineStr">
        <is>
          <t>请替换为真实URL或仓库路径</t>
        </is>
      </c>
      <c r="G18" s="91" t="inlineStr">
        <is>
          <t>待分配</t>
        </is>
      </c>
      <c r="H18" s="172" t="n"/>
      <c r="I18" s="163">
        <f>IFERROR(VLOOKUP(D18,'参数与锚点'!$K$5:$L$8,2,FALSE),0)</f>
        <v/>
      </c>
    </row>
    <row r="19" ht="33" customHeight="1">
      <c r="A19" s="31" t="inlineStr">
        <is>
          <t>P02</t>
        </is>
      </c>
      <c r="B19" s="31" t="inlineStr">
        <is>
          <t>C3</t>
        </is>
      </c>
      <c r="C19" s="31" t="inlineStr">
        <is>
          <t>场景具体性与深度优先</t>
        </is>
      </c>
      <c r="D19" s="91" t="inlineStr">
        <is>
          <t>有来源</t>
        </is>
      </c>
      <c r="E19" s="91" t="inlineStr">
        <is>
          <t>演示占位：正式评审时替换为可核验事实</t>
        </is>
      </c>
      <c r="F19" s="91" t="inlineStr">
        <is>
          <t>请替换为真实URL或仓库路径</t>
        </is>
      </c>
      <c r="G19" s="91" t="inlineStr">
        <is>
          <t>待分配</t>
        </is>
      </c>
      <c r="H19" s="172" t="n"/>
      <c r="I19" s="163">
        <f>IFERROR(VLOOKUP(D19,'参数与锚点'!$K$5:$L$8,2,FALSE),0)</f>
        <v/>
      </c>
    </row>
    <row r="20" ht="33" customHeight="1">
      <c r="A20" s="31" t="inlineStr">
        <is>
          <t>P02</t>
        </is>
      </c>
      <c r="B20" s="31" t="inlineStr">
        <is>
          <t>C4</t>
        </is>
      </c>
      <c r="C20" s="31" t="inlineStr">
        <is>
          <t>行动性与实际结果</t>
        </is>
      </c>
      <c r="D20" s="91" t="inlineStr">
        <is>
          <t>假设</t>
        </is>
      </c>
      <c r="E20" s="91" t="inlineStr">
        <is>
          <t>演示占位：正式评审时替换为可核验事实</t>
        </is>
      </c>
      <c r="F20" s="91" t="inlineStr">
        <is>
          <t>请替换为真实URL或仓库路径</t>
        </is>
      </c>
      <c r="G20" s="91" t="inlineStr">
        <is>
          <t>待分配</t>
        </is>
      </c>
      <c r="H20" s="172" t="n"/>
      <c r="I20" s="163">
        <f>IFERROR(VLOOKUP(D20,'参数与锚点'!$K$5:$L$8,2,FALSE),0)</f>
        <v/>
      </c>
    </row>
    <row r="21" ht="33" customHeight="1">
      <c r="A21" s="31" t="inlineStr">
        <is>
          <t>P02</t>
        </is>
      </c>
      <c r="B21" s="31" t="inlineStr">
        <is>
          <t>C5</t>
        </is>
      </c>
      <c r="C21" s="31" t="inlineStr">
        <is>
          <t>Spark不可替代性</t>
        </is>
      </c>
      <c r="D21" s="91" t="inlineStr">
        <is>
          <t>有来源</t>
        </is>
      </c>
      <c r="E21" s="91" t="inlineStr">
        <is>
          <t>演示占位：正式评审时替换为可核验事实</t>
        </is>
      </c>
      <c r="F21" s="91" t="inlineStr">
        <is>
          <t>请替换为真实URL或仓库路径</t>
        </is>
      </c>
      <c r="G21" s="91" t="inlineStr">
        <is>
          <t>待分配</t>
        </is>
      </c>
      <c r="H21" s="172" t="n"/>
      <c r="I21" s="163">
        <f>IFERROR(VLOOKUP(D21,'参数与锚点'!$K$5:$L$8,2,FALSE),0)</f>
        <v/>
      </c>
    </row>
    <row r="22" ht="33" customHeight="1">
      <c r="A22" s="31" t="inlineStr">
        <is>
          <t>P02</t>
        </is>
      </c>
      <c r="B22" s="31" t="inlineStr">
        <is>
          <t>C6</t>
        </is>
      </c>
      <c r="C22" s="31" t="inlineStr">
        <is>
          <t>能力互补与时间状态价值</t>
        </is>
      </c>
      <c r="D22" s="91" t="inlineStr">
        <is>
          <t>假设</t>
        </is>
      </c>
      <c r="E22" s="91" t="inlineStr">
        <is>
          <t>演示占位：正式评审时替换为可核验事实</t>
        </is>
      </c>
      <c r="F22" s="91" t="inlineStr">
        <is>
          <t>请替换为真实URL或仓库路径</t>
        </is>
      </c>
      <c r="G22" s="91" t="inlineStr">
        <is>
          <t>待分配</t>
        </is>
      </c>
      <c r="H22" s="172" t="n"/>
      <c r="I22" s="163">
        <f>IFERROR(VLOOKUP(D22,'参数与锚点'!$K$5:$L$8,2,FALSE),0)</f>
        <v/>
      </c>
    </row>
    <row r="23" ht="33" customHeight="1">
      <c r="A23" s="31" t="inlineStr">
        <is>
          <t>P02</t>
        </is>
      </c>
      <c r="B23" s="31" t="inlineStr">
        <is>
          <t>C7</t>
        </is>
      </c>
      <c r="C23" s="31" t="inlineStr">
        <is>
          <t>核心价值闭环≤90秒</t>
        </is>
      </c>
      <c r="D23" s="91" t="inlineStr">
        <is>
          <t>有来源</t>
        </is>
      </c>
      <c r="E23" s="91" t="inlineStr">
        <is>
          <t>演示占位：正式评审时替换为可核验事实</t>
        </is>
      </c>
      <c r="F23" s="91" t="inlineStr">
        <is>
          <t>请替换为真实URL或仓库路径</t>
        </is>
      </c>
      <c r="G23" s="91" t="inlineStr">
        <is>
          <t>待分配</t>
        </is>
      </c>
      <c r="H23" s="172" t="n"/>
      <c r="I23" s="163">
        <f>IFERROR(VLOOKUP(D23,'参数与锚点'!$K$5:$L$8,2,FALSE),0)</f>
        <v/>
      </c>
    </row>
    <row r="24" ht="33" customHeight="1">
      <c r="A24" s="31" t="inlineStr">
        <is>
          <t>P02</t>
        </is>
      </c>
      <c r="B24" s="31" t="inlineStr">
        <is>
          <t>C8</t>
        </is>
      </c>
      <c r="C24" s="31" t="inlineStr">
        <is>
          <t>可视化、直观性与wow</t>
        </is>
      </c>
      <c r="D24" s="91" t="inlineStr">
        <is>
          <t>有来源</t>
        </is>
      </c>
      <c r="E24" s="91" t="inlineStr">
        <is>
          <t>演示占位：正式评审时替换为可核验事实</t>
        </is>
      </c>
      <c r="F24" s="91" t="inlineStr">
        <is>
          <t>请替换为真实URL或仓库路径</t>
        </is>
      </c>
      <c r="G24" s="91" t="inlineStr">
        <is>
          <t>待分配</t>
        </is>
      </c>
      <c r="H24" s="172" t="n"/>
      <c r="I24" s="163">
        <f>IFERROR(VLOOKUP(D24,'参数与锚点'!$K$5:$L$8,2,FALSE),0)</f>
        <v/>
      </c>
    </row>
    <row r="25" ht="33" customHeight="1">
      <c r="A25" s="31" t="inlineStr">
        <is>
          <t>P02</t>
        </is>
      </c>
      <c r="B25" s="31" t="inlineStr">
        <is>
          <t>C9</t>
        </is>
      </c>
      <c r="C25" s="31" t="inlineStr">
        <is>
          <t>数据可信、合法与可获得</t>
        </is>
      </c>
      <c r="D25" s="91" t="inlineStr">
        <is>
          <t>假设</t>
        </is>
      </c>
      <c r="E25" s="91" t="inlineStr">
        <is>
          <t>演示占位：正式评审时替换为可核验事实</t>
        </is>
      </c>
      <c r="F25" s="91" t="inlineStr">
        <is>
          <t>请替换为真实URL或仓库路径</t>
        </is>
      </c>
      <c r="G25" s="91" t="inlineStr">
        <is>
          <t>待分配</t>
        </is>
      </c>
      <c r="H25" s="172" t="n"/>
      <c r="I25" s="163">
        <f>IFERROR(VLOOKUP(D25,'参数与锚点'!$K$5:$L$8,2,FALSE),0)</f>
        <v/>
      </c>
    </row>
    <row r="26" ht="33" customHeight="1">
      <c r="A26" s="31" t="inlineStr">
        <is>
          <t>P02</t>
        </is>
      </c>
      <c r="B26" s="31" t="inlineStr">
        <is>
          <t>C10</t>
        </is>
      </c>
      <c r="C26" s="31" t="inlineStr">
        <is>
          <t>异常定义、指标与透明审计</t>
        </is>
      </c>
      <c r="D26" s="91" t="inlineStr">
        <is>
          <t>假设</t>
        </is>
      </c>
      <c r="E26" s="91" t="inlineStr">
        <is>
          <t>演示占位：正式评审时替换为可核验事实</t>
        </is>
      </c>
      <c r="F26" s="91" t="inlineStr">
        <is>
          <t>请替换为真实URL或仓库路径</t>
        </is>
      </c>
      <c r="G26" s="91" t="inlineStr">
        <is>
          <t>待分配</t>
        </is>
      </c>
      <c r="H26" s="172" t="n"/>
      <c r="I26" s="163">
        <f>IFERROR(VLOOKUP(D26,'参数与锚点'!$K$5:$L$8,2,FALSE),0)</f>
        <v/>
      </c>
    </row>
    <row r="27" ht="33" customHeight="1">
      <c r="A27" s="31" t="inlineStr">
        <is>
          <t>P02</t>
        </is>
      </c>
      <c r="B27" s="31" t="inlineStr">
        <is>
          <t>C11</t>
        </is>
      </c>
      <c r="C27" s="31" t="inlineStr">
        <is>
          <t>前72h最小端到端链路</t>
        </is>
      </c>
      <c r="D27" s="91" t="inlineStr">
        <is>
          <t>有来源</t>
        </is>
      </c>
      <c r="E27" s="91" t="inlineStr">
        <is>
          <t>演示占位：正式评审时替换为可核验事实</t>
        </is>
      </c>
      <c r="F27" s="91" t="inlineStr">
        <is>
          <t>请替换为真实URL或仓库路径</t>
        </is>
      </c>
      <c r="G27" s="91" t="inlineStr">
        <is>
          <t>待分配</t>
        </is>
      </c>
      <c r="H27" s="172" t="n"/>
      <c r="I27" s="163">
        <f>IFERROR(VLOOKUP(D27,'参数与锚点'!$K$5:$L$8,2,FALSE),0)</f>
        <v/>
      </c>
    </row>
    <row r="28" ht="33" customHeight="1">
      <c r="A28" s="31" t="inlineStr">
        <is>
          <t>P02</t>
        </is>
      </c>
      <c r="B28" s="31" t="inlineStr">
        <is>
          <t>C12</t>
        </is>
      </c>
      <c r="C28" s="31" t="inlineStr">
        <is>
          <t>技术风险、资源预算与降级</t>
        </is>
      </c>
      <c r="D28" s="91" t="inlineStr">
        <is>
          <t>假设</t>
        </is>
      </c>
      <c r="E28" s="91" t="inlineStr">
        <is>
          <t>演示占位：正式评审时替换为可核验事实</t>
        </is>
      </c>
      <c r="F28" s="91" t="inlineStr">
        <is>
          <t>请替换为真实URL或仓库路径</t>
        </is>
      </c>
      <c r="G28" s="91" t="inlineStr">
        <is>
          <t>待分配</t>
        </is>
      </c>
      <c r="H28" s="172" t="n"/>
      <c r="I28" s="163">
        <f>IFERROR(VLOOKUP(D28,'参数与锚点'!$K$5:$L$8,2,FALSE),0)</f>
        <v/>
      </c>
    </row>
    <row r="29" ht="33" customHeight="1">
      <c r="A29" s="31" t="inlineStr">
        <is>
          <t>P03</t>
        </is>
      </c>
      <c r="B29" s="31" t="inlineStr">
        <is>
          <t>C1</t>
        </is>
      </c>
      <c r="C29" s="31" t="inlineStr">
        <is>
          <t>痛点强度与用户清晰度</t>
        </is>
      </c>
      <c r="D29" s="91" t="inlineStr">
        <is>
          <t>有来源</t>
        </is>
      </c>
      <c r="E29" s="91" t="inlineStr">
        <is>
          <t>演示占位：正式评审时替换为可核验事实</t>
        </is>
      </c>
      <c r="F29" s="91" t="inlineStr">
        <is>
          <t>请替换为真实URL或仓库路径</t>
        </is>
      </c>
      <c r="G29" s="91" t="inlineStr">
        <is>
          <t>待分配</t>
        </is>
      </c>
      <c r="H29" s="172" t="n"/>
      <c r="I29" s="163">
        <f>IFERROR(VLOOKUP(D29,'参数与锚点'!$K$5:$L$8,2,FALSE),0)</f>
        <v/>
      </c>
    </row>
    <row r="30" ht="33" customHeight="1">
      <c r="A30" s="31" t="inlineStr">
        <is>
          <t>P03</t>
        </is>
      </c>
      <c r="B30" s="31" t="inlineStr">
        <is>
          <t>C2</t>
        </is>
      </c>
      <c r="C30" s="31" t="inlineStr">
        <is>
          <t>付费方、价值与扩展路径</t>
        </is>
      </c>
      <c r="D30" s="91" t="inlineStr">
        <is>
          <t>假设</t>
        </is>
      </c>
      <c r="E30" s="91" t="inlineStr">
        <is>
          <t>演示占位：正式评审时替换为可核验事实</t>
        </is>
      </c>
      <c r="F30" s="91" t="inlineStr">
        <is>
          <t>请替换为真实URL或仓库路径</t>
        </is>
      </c>
      <c r="G30" s="91" t="inlineStr">
        <is>
          <t>待分配</t>
        </is>
      </c>
      <c r="H30" s="172" t="n"/>
      <c r="I30" s="163">
        <f>IFERROR(VLOOKUP(D30,'参数与锚点'!$K$5:$L$8,2,FALSE),0)</f>
        <v/>
      </c>
    </row>
    <row r="31" ht="33" customHeight="1">
      <c r="A31" s="31" t="inlineStr">
        <is>
          <t>P03</t>
        </is>
      </c>
      <c r="B31" s="31" t="inlineStr">
        <is>
          <t>C3</t>
        </is>
      </c>
      <c r="C31" s="31" t="inlineStr">
        <is>
          <t>场景具体性与深度优先</t>
        </is>
      </c>
      <c r="D31" s="91" t="inlineStr">
        <is>
          <t>有来源</t>
        </is>
      </c>
      <c r="E31" s="91" t="inlineStr">
        <is>
          <t>演示占位：正式评审时替换为可核验事实</t>
        </is>
      </c>
      <c r="F31" s="91" t="inlineStr">
        <is>
          <t>请替换为真实URL或仓库路径</t>
        </is>
      </c>
      <c r="G31" s="91" t="inlineStr">
        <is>
          <t>待分配</t>
        </is>
      </c>
      <c r="H31" s="172" t="n"/>
      <c r="I31" s="163">
        <f>IFERROR(VLOOKUP(D31,'参数与锚点'!$K$5:$L$8,2,FALSE),0)</f>
        <v/>
      </c>
    </row>
    <row r="32" ht="33" customHeight="1">
      <c r="A32" s="31" t="inlineStr">
        <is>
          <t>P03</t>
        </is>
      </c>
      <c r="B32" s="31" t="inlineStr">
        <is>
          <t>C4</t>
        </is>
      </c>
      <c r="C32" s="31" t="inlineStr">
        <is>
          <t>行动性与实际结果</t>
        </is>
      </c>
      <c r="D32" s="91" t="inlineStr">
        <is>
          <t>有来源</t>
        </is>
      </c>
      <c r="E32" s="91" t="inlineStr">
        <is>
          <t>演示占位：正式评审时替换为可核验事实</t>
        </is>
      </c>
      <c r="F32" s="91" t="inlineStr">
        <is>
          <t>请替换为真实URL或仓库路径</t>
        </is>
      </c>
      <c r="G32" s="91" t="inlineStr">
        <is>
          <t>待分配</t>
        </is>
      </c>
      <c r="H32" s="172" t="n"/>
      <c r="I32" s="163">
        <f>IFERROR(VLOOKUP(D32,'参数与锚点'!$K$5:$L$8,2,FALSE),0)</f>
        <v/>
      </c>
    </row>
    <row r="33" ht="33" customHeight="1">
      <c r="A33" s="31" t="inlineStr">
        <is>
          <t>P03</t>
        </is>
      </c>
      <c r="B33" s="31" t="inlineStr">
        <is>
          <t>C5</t>
        </is>
      </c>
      <c r="C33" s="31" t="inlineStr">
        <is>
          <t>Spark不可替代性</t>
        </is>
      </c>
      <c r="D33" s="91" t="inlineStr">
        <is>
          <t>有来源</t>
        </is>
      </c>
      <c r="E33" s="91" t="inlineStr">
        <is>
          <t>演示占位：正式评审时替换为可核验事实</t>
        </is>
      </c>
      <c r="F33" s="91" t="inlineStr">
        <is>
          <t>请替换为真实URL或仓库路径</t>
        </is>
      </c>
      <c r="G33" s="91" t="inlineStr">
        <is>
          <t>待分配</t>
        </is>
      </c>
      <c r="H33" s="172" t="n"/>
      <c r="I33" s="163">
        <f>IFERROR(VLOOKUP(D33,'参数与锚点'!$K$5:$L$8,2,FALSE),0)</f>
        <v/>
      </c>
    </row>
    <row r="34" ht="33" customHeight="1">
      <c r="A34" s="31" t="inlineStr">
        <is>
          <t>P03</t>
        </is>
      </c>
      <c r="B34" s="31" t="inlineStr">
        <is>
          <t>C6</t>
        </is>
      </c>
      <c r="C34" s="31" t="inlineStr">
        <is>
          <t>能力互补与时间状态价值</t>
        </is>
      </c>
      <c r="D34" s="91" t="inlineStr">
        <is>
          <t>假设</t>
        </is>
      </c>
      <c r="E34" s="91" t="inlineStr">
        <is>
          <t>演示占位：正式评审时替换为可核验事实</t>
        </is>
      </c>
      <c r="F34" s="91" t="inlineStr">
        <is>
          <t>请替换为真实URL或仓库路径</t>
        </is>
      </c>
      <c r="G34" s="91" t="inlineStr">
        <is>
          <t>待分配</t>
        </is>
      </c>
      <c r="H34" s="172" t="n"/>
      <c r="I34" s="163">
        <f>IFERROR(VLOOKUP(D34,'参数与锚点'!$K$5:$L$8,2,FALSE),0)</f>
        <v/>
      </c>
    </row>
    <row r="35" ht="33" customHeight="1">
      <c r="A35" s="31" t="inlineStr">
        <is>
          <t>P03</t>
        </is>
      </c>
      <c r="B35" s="31" t="inlineStr">
        <is>
          <t>C7</t>
        </is>
      </c>
      <c r="C35" s="31" t="inlineStr">
        <is>
          <t>核心价值闭环≤90秒</t>
        </is>
      </c>
      <c r="D35" s="91" t="inlineStr">
        <is>
          <t>有来源</t>
        </is>
      </c>
      <c r="E35" s="91" t="inlineStr">
        <is>
          <t>演示占位：正式评审时替换为可核验事实</t>
        </is>
      </c>
      <c r="F35" s="91" t="inlineStr">
        <is>
          <t>请替换为真实URL或仓库路径</t>
        </is>
      </c>
      <c r="G35" s="91" t="inlineStr">
        <is>
          <t>待分配</t>
        </is>
      </c>
      <c r="H35" s="172" t="n"/>
      <c r="I35" s="163">
        <f>IFERROR(VLOOKUP(D35,'参数与锚点'!$K$5:$L$8,2,FALSE),0)</f>
        <v/>
      </c>
    </row>
    <row r="36" ht="33" customHeight="1">
      <c r="A36" s="31" t="inlineStr">
        <is>
          <t>P03</t>
        </is>
      </c>
      <c r="B36" s="31" t="inlineStr">
        <is>
          <t>C8</t>
        </is>
      </c>
      <c r="C36" s="31" t="inlineStr">
        <is>
          <t>可视化、直观性与wow</t>
        </is>
      </c>
      <c r="D36" s="91" t="inlineStr">
        <is>
          <t>有来源</t>
        </is>
      </c>
      <c r="E36" s="91" t="inlineStr">
        <is>
          <t>演示占位：正式评审时替换为可核验事实</t>
        </is>
      </c>
      <c r="F36" s="91" t="inlineStr">
        <is>
          <t>请替换为真实URL或仓库路径</t>
        </is>
      </c>
      <c r="G36" s="91" t="inlineStr">
        <is>
          <t>待分配</t>
        </is>
      </c>
      <c r="H36" s="172" t="n"/>
      <c r="I36" s="163">
        <f>IFERROR(VLOOKUP(D36,'参数与锚点'!$K$5:$L$8,2,FALSE),0)</f>
        <v/>
      </c>
    </row>
    <row r="37" ht="33" customHeight="1">
      <c r="A37" s="31" t="inlineStr">
        <is>
          <t>P03</t>
        </is>
      </c>
      <c r="B37" s="31" t="inlineStr">
        <is>
          <t>C9</t>
        </is>
      </c>
      <c r="C37" s="31" t="inlineStr">
        <is>
          <t>数据可信、合法与可获得</t>
        </is>
      </c>
      <c r="D37" s="91" t="inlineStr">
        <is>
          <t>有来源</t>
        </is>
      </c>
      <c r="E37" s="91" t="inlineStr">
        <is>
          <t>演示占位：正式评审时替换为可核验事实</t>
        </is>
      </c>
      <c r="F37" s="91" t="inlineStr">
        <is>
          <t>请替换为真实URL或仓库路径</t>
        </is>
      </c>
      <c r="G37" s="91" t="inlineStr">
        <is>
          <t>待分配</t>
        </is>
      </c>
      <c r="H37" s="172" t="n"/>
      <c r="I37" s="163">
        <f>IFERROR(VLOOKUP(D37,'参数与锚点'!$K$5:$L$8,2,FALSE),0)</f>
        <v/>
      </c>
    </row>
    <row r="38" ht="33" customHeight="1">
      <c r="A38" s="31" t="inlineStr">
        <is>
          <t>P03</t>
        </is>
      </c>
      <c r="B38" s="31" t="inlineStr">
        <is>
          <t>C10</t>
        </is>
      </c>
      <c r="C38" s="31" t="inlineStr">
        <is>
          <t>异常定义、指标与透明审计</t>
        </is>
      </c>
      <c r="D38" s="91" t="inlineStr">
        <is>
          <t>有来源</t>
        </is>
      </c>
      <c r="E38" s="91" t="inlineStr">
        <is>
          <t>演示占位：正式评审时替换为可核验事实</t>
        </is>
      </c>
      <c r="F38" s="91" t="inlineStr">
        <is>
          <t>请替换为真实URL或仓库路径</t>
        </is>
      </c>
      <c r="G38" s="91" t="inlineStr">
        <is>
          <t>待分配</t>
        </is>
      </c>
      <c r="H38" s="172" t="n"/>
      <c r="I38" s="163">
        <f>IFERROR(VLOOKUP(D38,'参数与锚点'!$K$5:$L$8,2,FALSE),0)</f>
        <v/>
      </c>
    </row>
    <row r="39" ht="33" customHeight="1">
      <c r="A39" s="31" t="inlineStr">
        <is>
          <t>P03</t>
        </is>
      </c>
      <c r="B39" s="31" t="inlineStr">
        <is>
          <t>C11</t>
        </is>
      </c>
      <c r="C39" s="31" t="inlineStr">
        <is>
          <t>前72h最小端到端链路</t>
        </is>
      </c>
      <c r="D39" s="91" t="inlineStr">
        <is>
          <t>有来源</t>
        </is>
      </c>
      <c r="E39" s="91" t="inlineStr">
        <is>
          <t>演示占位：正式评审时替换为可核验事实</t>
        </is>
      </c>
      <c r="F39" s="91" t="inlineStr">
        <is>
          <t>请替换为真实URL或仓库路径</t>
        </is>
      </c>
      <c r="G39" s="91" t="inlineStr">
        <is>
          <t>待分配</t>
        </is>
      </c>
      <c r="H39" s="172" t="n"/>
      <c r="I39" s="163">
        <f>IFERROR(VLOOKUP(D39,'参数与锚点'!$K$5:$L$8,2,FALSE),0)</f>
        <v/>
      </c>
    </row>
    <row r="40" ht="33" customHeight="1">
      <c r="A40" s="31" t="inlineStr">
        <is>
          <t>P03</t>
        </is>
      </c>
      <c r="B40" s="31" t="inlineStr">
        <is>
          <t>C12</t>
        </is>
      </c>
      <c r="C40" s="31" t="inlineStr">
        <is>
          <t>技术风险、资源预算与降级</t>
        </is>
      </c>
      <c r="D40" s="91" t="inlineStr">
        <is>
          <t>假设</t>
        </is>
      </c>
      <c r="E40" s="91" t="inlineStr">
        <is>
          <t>演示占位：正式评审时替换为可核验事实</t>
        </is>
      </c>
      <c r="F40" s="91" t="inlineStr">
        <is>
          <t>请替换为真实URL或仓库路径</t>
        </is>
      </c>
      <c r="G40" s="91" t="inlineStr">
        <is>
          <t>待分配</t>
        </is>
      </c>
      <c r="H40" s="172" t="n"/>
      <c r="I40" s="163">
        <f>IFERROR(VLOOKUP(D40,'参数与锚点'!$K$5:$L$8,2,FALSE),0)</f>
        <v/>
      </c>
    </row>
    <row r="41" ht="33" customHeight="1">
      <c r="A41" s="31" t="inlineStr">
        <is>
          <t>P04</t>
        </is>
      </c>
      <c r="B41" s="31" t="inlineStr">
        <is>
          <t>C1</t>
        </is>
      </c>
      <c r="C41" s="31" t="inlineStr">
        <is>
          <t>痛点强度与用户清晰度</t>
        </is>
      </c>
      <c r="D41" s="91" t="inlineStr">
        <is>
          <t>未提供</t>
        </is>
      </c>
      <c r="E41" s="91" t="str"/>
      <c r="F41" s="91" t="str"/>
      <c r="G41" s="91" t="str"/>
      <c r="H41" s="172" t="n"/>
      <c r="I41" s="163">
        <f>IFERROR(VLOOKUP(D41,'参数与锚点'!$K$5:$L$8,2,FALSE),0)</f>
        <v/>
      </c>
    </row>
    <row r="42" ht="33" customHeight="1">
      <c r="A42" s="31" t="inlineStr">
        <is>
          <t>P04</t>
        </is>
      </c>
      <c r="B42" s="31" t="inlineStr">
        <is>
          <t>C2</t>
        </is>
      </c>
      <c r="C42" s="31" t="inlineStr">
        <is>
          <t>付费方、价值与扩展路径</t>
        </is>
      </c>
      <c r="D42" s="91" t="inlineStr">
        <is>
          <t>未提供</t>
        </is>
      </c>
      <c r="E42" s="91" t="str"/>
      <c r="F42" s="91" t="str"/>
      <c r="G42" s="91" t="str"/>
      <c r="H42" s="172" t="n"/>
      <c r="I42" s="163">
        <f>IFERROR(VLOOKUP(D42,'参数与锚点'!$K$5:$L$8,2,FALSE),0)</f>
        <v/>
      </c>
    </row>
    <row r="43" ht="33" customHeight="1">
      <c r="A43" s="31" t="inlineStr">
        <is>
          <t>P04</t>
        </is>
      </c>
      <c r="B43" s="31" t="inlineStr">
        <is>
          <t>C3</t>
        </is>
      </c>
      <c r="C43" s="31" t="inlineStr">
        <is>
          <t>场景具体性与深度优先</t>
        </is>
      </c>
      <c r="D43" s="91" t="inlineStr">
        <is>
          <t>未提供</t>
        </is>
      </c>
      <c r="E43" s="91" t="str"/>
      <c r="F43" s="91" t="str"/>
      <c r="G43" s="91" t="str"/>
      <c r="H43" s="172" t="n"/>
      <c r="I43" s="163">
        <f>IFERROR(VLOOKUP(D43,'参数与锚点'!$K$5:$L$8,2,FALSE),0)</f>
        <v/>
      </c>
    </row>
    <row r="44" ht="33" customHeight="1">
      <c r="A44" s="31" t="inlineStr">
        <is>
          <t>P04</t>
        </is>
      </c>
      <c r="B44" s="31" t="inlineStr">
        <is>
          <t>C4</t>
        </is>
      </c>
      <c r="C44" s="31" t="inlineStr">
        <is>
          <t>行动性与实际结果</t>
        </is>
      </c>
      <c r="D44" s="91" t="inlineStr">
        <is>
          <t>未提供</t>
        </is>
      </c>
      <c r="E44" s="91" t="str"/>
      <c r="F44" s="91" t="str"/>
      <c r="G44" s="91" t="str"/>
      <c r="H44" s="172" t="n"/>
      <c r="I44" s="163">
        <f>IFERROR(VLOOKUP(D44,'参数与锚点'!$K$5:$L$8,2,FALSE),0)</f>
        <v/>
      </c>
    </row>
    <row r="45" ht="33" customHeight="1">
      <c r="A45" s="31" t="inlineStr">
        <is>
          <t>P04</t>
        </is>
      </c>
      <c r="B45" s="31" t="inlineStr">
        <is>
          <t>C5</t>
        </is>
      </c>
      <c r="C45" s="31" t="inlineStr">
        <is>
          <t>Spark不可替代性</t>
        </is>
      </c>
      <c r="D45" s="91" t="inlineStr">
        <is>
          <t>未提供</t>
        </is>
      </c>
      <c r="E45" s="91" t="str"/>
      <c r="F45" s="91" t="str"/>
      <c r="G45" s="91" t="str"/>
      <c r="H45" s="172" t="n"/>
      <c r="I45" s="163">
        <f>IFERROR(VLOOKUP(D45,'参数与锚点'!$K$5:$L$8,2,FALSE),0)</f>
        <v/>
      </c>
    </row>
    <row r="46" ht="33" customHeight="1">
      <c r="A46" s="31" t="inlineStr">
        <is>
          <t>P04</t>
        </is>
      </c>
      <c r="B46" s="31" t="inlineStr">
        <is>
          <t>C6</t>
        </is>
      </c>
      <c r="C46" s="31" t="inlineStr">
        <is>
          <t>能力互补与时间状态价值</t>
        </is>
      </c>
      <c r="D46" s="91" t="inlineStr">
        <is>
          <t>未提供</t>
        </is>
      </c>
      <c r="E46" s="91" t="str"/>
      <c r="F46" s="91" t="str"/>
      <c r="G46" s="91" t="str"/>
      <c r="H46" s="172" t="n"/>
      <c r="I46" s="163">
        <f>IFERROR(VLOOKUP(D46,'参数与锚点'!$K$5:$L$8,2,FALSE),0)</f>
        <v/>
      </c>
    </row>
    <row r="47" ht="33" customHeight="1">
      <c r="A47" s="31" t="inlineStr">
        <is>
          <t>P04</t>
        </is>
      </c>
      <c r="B47" s="31" t="inlineStr">
        <is>
          <t>C7</t>
        </is>
      </c>
      <c r="C47" s="31" t="inlineStr">
        <is>
          <t>核心价值闭环≤90秒</t>
        </is>
      </c>
      <c r="D47" s="91" t="inlineStr">
        <is>
          <t>未提供</t>
        </is>
      </c>
      <c r="E47" s="91" t="str"/>
      <c r="F47" s="91" t="str"/>
      <c r="G47" s="91" t="str"/>
      <c r="H47" s="172" t="n"/>
      <c r="I47" s="163">
        <f>IFERROR(VLOOKUP(D47,'参数与锚点'!$K$5:$L$8,2,FALSE),0)</f>
        <v/>
      </c>
    </row>
    <row r="48" ht="33" customHeight="1">
      <c r="A48" s="31" t="inlineStr">
        <is>
          <t>P04</t>
        </is>
      </c>
      <c r="B48" s="31" t="inlineStr">
        <is>
          <t>C8</t>
        </is>
      </c>
      <c r="C48" s="31" t="inlineStr">
        <is>
          <t>可视化、直观性与wow</t>
        </is>
      </c>
      <c r="D48" s="91" t="inlineStr">
        <is>
          <t>未提供</t>
        </is>
      </c>
      <c r="E48" s="91" t="str"/>
      <c r="F48" s="91" t="str"/>
      <c r="G48" s="91" t="str"/>
      <c r="H48" s="172" t="n"/>
      <c r="I48" s="163">
        <f>IFERROR(VLOOKUP(D48,'参数与锚点'!$K$5:$L$8,2,FALSE),0)</f>
        <v/>
      </c>
    </row>
    <row r="49" ht="33" customHeight="1">
      <c r="A49" s="31" t="inlineStr">
        <is>
          <t>P04</t>
        </is>
      </c>
      <c r="B49" s="31" t="inlineStr">
        <is>
          <t>C9</t>
        </is>
      </c>
      <c r="C49" s="31" t="inlineStr">
        <is>
          <t>数据可信、合法与可获得</t>
        </is>
      </c>
      <c r="D49" s="91" t="inlineStr">
        <is>
          <t>未提供</t>
        </is>
      </c>
      <c r="E49" s="91" t="str"/>
      <c r="F49" s="91" t="str"/>
      <c r="G49" s="91" t="str"/>
      <c r="H49" s="172" t="n"/>
      <c r="I49" s="163">
        <f>IFERROR(VLOOKUP(D49,'参数与锚点'!$K$5:$L$8,2,FALSE),0)</f>
        <v/>
      </c>
    </row>
    <row r="50" ht="33" customHeight="1">
      <c r="A50" s="31" t="inlineStr">
        <is>
          <t>P04</t>
        </is>
      </c>
      <c r="B50" s="31" t="inlineStr">
        <is>
          <t>C10</t>
        </is>
      </c>
      <c r="C50" s="31" t="inlineStr">
        <is>
          <t>异常定义、指标与透明审计</t>
        </is>
      </c>
      <c r="D50" s="91" t="inlineStr">
        <is>
          <t>未提供</t>
        </is>
      </c>
      <c r="E50" s="91" t="str"/>
      <c r="F50" s="91" t="str"/>
      <c r="G50" s="91" t="str"/>
      <c r="H50" s="172" t="n"/>
      <c r="I50" s="163">
        <f>IFERROR(VLOOKUP(D50,'参数与锚点'!$K$5:$L$8,2,FALSE),0)</f>
        <v/>
      </c>
    </row>
    <row r="51" ht="33" customHeight="1">
      <c r="A51" s="31" t="inlineStr">
        <is>
          <t>P04</t>
        </is>
      </c>
      <c r="B51" s="31" t="inlineStr">
        <is>
          <t>C11</t>
        </is>
      </c>
      <c r="C51" s="31" t="inlineStr">
        <is>
          <t>前72h最小端到端链路</t>
        </is>
      </c>
      <c r="D51" s="91" t="inlineStr">
        <is>
          <t>未提供</t>
        </is>
      </c>
      <c r="E51" s="91" t="str"/>
      <c r="F51" s="91" t="str"/>
      <c r="G51" s="91" t="str"/>
      <c r="H51" s="172" t="n"/>
      <c r="I51" s="163">
        <f>IFERROR(VLOOKUP(D51,'参数与锚点'!$K$5:$L$8,2,FALSE),0)</f>
        <v/>
      </c>
    </row>
    <row r="52" ht="33" customHeight="1">
      <c r="A52" s="31" t="inlineStr">
        <is>
          <t>P04</t>
        </is>
      </c>
      <c r="B52" s="31" t="inlineStr">
        <is>
          <t>C12</t>
        </is>
      </c>
      <c r="C52" s="31" t="inlineStr">
        <is>
          <t>技术风险、资源预算与降级</t>
        </is>
      </c>
      <c r="D52" s="91" t="inlineStr">
        <is>
          <t>未提供</t>
        </is>
      </c>
      <c r="E52" s="91" t="str"/>
      <c r="F52" s="91" t="str"/>
      <c r="G52" s="91" t="str"/>
      <c r="H52" s="172" t="n"/>
      <c r="I52" s="163">
        <f>IFERROR(VLOOKUP(D52,'参数与锚点'!$K$5:$L$8,2,FALSE),0)</f>
        <v/>
      </c>
    </row>
    <row r="53" ht="33" customHeight="1">
      <c r="A53" s="31" t="inlineStr">
        <is>
          <t>P05</t>
        </is>
      </c>
      <c r="B53" s="31" t="inlineStr">
        <is>
          <t>C1</t>
        </is>
      </c>
      <c r="C53" s="31" t="inlineStr">
        <is>
          <t>痛点强度与用户清晰度</t>
        </is>
      </c>
      <c r="D53" s="91" t="inlineStr">
        <is>
          <t>未提供</t>
        </is>
      </c>
      <c r="E53" s="91" t="str"/>
      <c r="F53" s="91" t="str"/>
      <c r="G53" s="91" t="str"/>
      <c r="H53" s="172" t="n"/>
      <c r="I53" s="163">
        <f>IFERROR(VLOOKUP(D53,'参数与锚点'!$K$5:$L$8,2,FALSE),0)</f>
        <v/>
      </c>
    </row>
    <row r="54" ht="33" customHeight="1">
      <c r="A54" s="31" t="inlineStr">
        <is>
          <t>P05</t>
        </is>
      </c>
      <c r="B54" s="31" t="inlineStr">
        <is>
          <t>C2</t>
        </is>
      </c>
      <c r="C54" s="31" t="inlineStr">
        <is>
          <t>付费方、价值与扩展路径</t>
        </is>
      </c>
      <c r="D54" s="91" t="inlineStr">
        <is>
          <t>未提供</t>
        </is>
      </c>
      <c r="E54" s="91" t="str"/>
      <c r="F54" s="91" t="str"/>
      <c r="G54" s="91" t="str"/>
      <c r="H54" s="172" t="n"/>
      <c r="I54" s="163">
        <f>IFERROR(VLOOKUP(D54,'参数与锚点'!$K$5:$L$8,2,FALSE),0)</f>
        <v/>
      </c>
    </row>
    <row r="55" ht="33" customHeight="1">
      <c r="A55" s="31" t="inlineStr">
        <is>
          <t>P05</t>
        </is>
      </c>
      <c r="B55" s="31" t="inlineStr">
        <is>
          <t>C3</t>
        </is>
      </c>
      <c r="C55" s="31" t="inlineStr">
        <is>
          <t>场景具体性与深度优先</t>
        </is>
      </c>
      <c r="D55" s="91" t="inlineStr">
        <is>
          <t>未提供</t>
        </is>
      </c>
      <c r="E55" s="91" t="str"/>
      <c r="F55" s="91" t="str"/>
      <c r="G55" s="91" t="str"/>
      <c r="H55" s="172" t="n"/>
      <c r="I55" s="163">
        <f>IFERROR(VLOOKUP(D55,'参数与锚点'!$K$5:$L$8,2,FALSE),0)</f>
        <v/>
      </c>
    </row>
    <row r="56" ht="33" customHeight="1">
      <c r="A56" s="31" t="inlineStr">
        <is>
          <t>P05</t>
        </is>
      </c>
      <c r="B56" s="31" t="inlineStr">
        <is>
          <t>C4</t>
        </is>
      </c>
      <c r="C56" s="31" t="inlineStr">
        <is>
          <t>行动性与实际结果</t>
        </is>
      </c>
      <c r="D56" s="91" t="inlineStr">
        <is>
          <t>未提供</t>
        </is>
      </c>
      <c r="E56" s="91" t="str"/>
      <c r="F56" s="91" t="str"/>
      <c r="G56" s="91" t="str"/>
      <c r="H56" s="172" t="n"/>
      <c r="I56" s="163">
        <f>IFERROR(VLOOKUP(D56,'参数与锚点'!$K$5:$L$8,2,FALSE),0)</f>
        <v/>
      </c>
    </row>
    <row r="57" ht="33" customHeight="1">
      <c r="A57" s="31" t="inlineStr">
        <is>
          <t>P05</t>
        </is>
      </c>
      <c r="B57" s="31" t="inlineStr">
        <is>
          <t>C5</t>
        </is>
      </c>
      <c r="C57" s="31" t="inlineStr">
        <is>
          <t>Spark不可替代性</t>
        </is>
      </c>
      <c r="D57" s="91" t="inlineStr">
        <is>
          <t>未提供</t>
        </is>
      </c>
      <c r="E57" s="91" t="str"/>
      <c r="F57" s="91" t="str"/>
      <c r="G57" s="91" t="str"/>
      <c r="H57" s="172" t="n"/>
      <c r="I57" s="163">
        <f>IFERROR(VLOOKUP(D57,'参数与锚点'!$K$5:$L$8,2,FALSE),0)</f>
        <v/>
      </c>
    </row>
    <row r="58" ht="33" customHeight="1">
      <c r="A58" s="31" t="inlineStr">
        <is>
          <t>P05</t>
        </is>
      </c>
      <c r="B58" s="31" t="inlineStr">
        <is>
          <t>C6</t>
        </is>
      </c>
      <c r="C58" s="31" t="inlineStr">
        <is>
          <t>能力互补与时间状态价值</t>
        </is>
      </c>
      <c r="D58" s="91" t="inlineStr">
        <is>
          <t>未提供</t>
        </is>
      </c>
      <c r="E58" s="91" t="str"/>
      <c r="F58" s="91" t="str"/>
      <c r="G58" s="91" t="str"/>
      <c r="H58" s="172" t="n"/>
      <c r="I58" s="163">
        <f>IFERROR(VLOOKUP(D58,'参数与锚点'!$K$5:$L$8,2,FALSE),0)</f>
        <v/>
      </c>
    </row>
    <row r="59" ht="33" customHeight="1">
      <c r="A59" s="31" t="inlineStr">
        <is>
          <t>P05</t>
        </is>
      </c>
      <c r="B59" s="31" t="inlineStr">
        <is>
          <t>C7</t>
        </is>
      </c>
      <c r="C59" s="31" t="inlineStr">
        <is>
          <t>核心价值闭环≤90秒</t>
        </is>
      </c>
      <c r="D59" s="91" t="inlineStr">
        <is>
          <t>未提供</t>
        </is>
      </c>
      <c r="E59" s="91" t="str"/>
      <c r="F59" s="91" t="str"/>
      <c r="G59" s="91" t="str"/>
      <c r="H59" s="172" t="n"/>
      <c r="I59" s="163">
        <f>IFERROR(VLOOKUP(D59,'参数与锚点'!$K$5:$L$8,2,FALSE),0)</f>
        <v/>
      </c>
    </row>
    <row r="60" ht="33" customHeight="1">
      <c r="A60" s="31" t="inlineStr">
        <is>
          <t>P05</t>
        </is>
      </c>
      <c r="B60" s="31" t="inlineStr">
        <is>
          <t>C8</t>
        </is>
      </c>
      <c r="C60" s="31" t="inlineStr">
        <is>
          <t>可视化、直观性与wow</t>
        </is>
      </c>
      <c r="D60" s="91" t="inlineStr">
        <is>
          <t>未提供</t>
        </is>
      </c>
      <c r="E60" s="91" t="str"/>
      <c r="F60" s="91" t="str"/>
      <c r="G60" s="91" t="str"/>
      <c r="H60" s="172" t="n"/>
      <c r="I60" s="163">
        <f>IFERROR(VLOOKUP(D60,'参数与锚点'!$K$5:$L$8,2,FALSE),0)</f>
        <v/>
      </c>
    </row>
    <row r="61" ht="33" customHeight="1">
      <c r="A61" s="31" t="inlineStr">
        <is>
          <t>P05</t>
        </is>
      </c>
      <c r="B61" s="31" t="inlineStr">
        <is>
          <t>C9</t>
        </is>
      </c>
      <c r="C61" s="31" t="inlineStr">
        <is>
          <t>数据可信、合法与可获得</t>
        </is>
      </c>
      <c r="D61" s="91" t="inlineStr">
        <is>
          <t>未提供</t>
        </is>
      </c>
      <c r="E61" s="91" t="str"/>
      <c r="F61" s="91" t="str"/>
      <c r="G61" s="91" t="str"/>
      <c r="H61" s="172" t="n"/>
      <c r="I61" s="163">
        <f>IFERROR(VLOOKUP(D61,'参数与锚点'!$K$5:$L$8,2,FALSE),0)</f>
        <v/>
      </c>
    </row>
    <row r="62" ht="33" customHeight="1">
      <c r="A62" s="31" t="inlineStr">
        <is>
          <t>P05</t>
        </is>
      </c>
      <c r="B62" s="31" t="inlineStr">
        <is>
          <t>C10</t>
        </is>
      </c>
      <c r="C62" s="31" t="inlineStr">
        <is>
          <t>异常定义、指标与透明审计</t>
        </is>
      </c>
      <c r="D62" s="91" t="inlineStr">
        <is>
          <t>未提供</t>
        </is>
      </c>
      <c r="E62" s="91" t="str"/>
      <c r="F62" s="91" t="str"/>
      <c r="G62" s="91" t="str"/>
      <c r="H62" s="172" t="n"/>
      <c r="I62" s="163">
        <f>IFERROR(VLOOKUP(D62,'参数与锚点'!$K$5:$L$8,2,FALSE),0)</f>
        <v/>
      </c>
    </row>
    <row r="63" ht="33" customHeight="1">
      <c r="A63" s="31" t="inlineStr">
        <is>
          <t>P05</t>
        </is>
      </c>
      <c r="B63" s="31" t="inlineStr">
        <is>
          <t>C11</t>
        </is>
      </c>
      <c r="C63" s="31" t="inlineStr">
        <is>
          <t>前72h最小端到端链路</t>
        </is>
      </c>
      <c r="D63" s="91" t="inlineStr">
        <is>
          <t>未提供</t>
        </is>
      </c>
      <c r="E63" s="91" t="str"/>
      <c r="F63" s="91" t="str"/>
      <c r="G63" s="91" t="str"/>
      <c r="H63" s="172" t="n"/>
      <c r="I63" s="163">
        <f>IFERROR(VLOOKUP(D63,'参数与锚点'!$K$5:$L$8,2,FALSE),0)</f>
        <v/>
      </c>
    </row>
    <row r="64" ht="33" customHeight="1">
      <c r="A64" s="31" t="inlineStr">
        <is>
          <t>P05</t>
        </is>
      </c>
      <c r="B64" s="31" t="inlineStr">
        <is>
          <t>C12</t>
        </is>
      </c>
      <c r="C64" s="31" t="inlineStr">
        <is>
          <t>技术风险、资源预算与降级</t>
        </is>
      </c>
      <c r="D64" s="91" t="inlineStr">
        <is>
          <t>未提供</t>
        </is>
      </c>
      <c r="E64" s="91" t="str"/>
      <c r="F64" s="91" t="str"/>
      <c r="G64" s="91" t="str"/>
      <c r="H64" s="172" t="n"/>
      <c r="I64" s="163">
        <f>IFERROR(VLOOKUP(D64,'参数与锚点'!$K$5:$L$8,2,FALSE),0)</f>
        <v/>
      </c>
    </row>
    <row r="65" ht="33" customHeight="1">
      <c r="A65" s="31" t="inlineStr">
        <is>
          <t>P06</t>
        </is>
      </c>
      <c r="B65" s="31" t="inlineStr">
        <is>
          <t>C1</t>
        </is>
      </c>
      <c r="C65" s="31" t="inlineStr">
        <is>
          <t>痛点强度与用户清晰度</t>
        </is>
      </c>
      <c r="D65" s="91" t="inlineStr">
        <is>
          <t>未提供</t>
        </is>
      </c>
      <c r="E65" s="91" t="str"/>
      <c r="F65" s="91" t="str"/>
      <c r="G65" s="91" t="str"/>
      <c r="H65" s="172" t="n"/>
      <c r="I65" s="163">
        <f>IFERROR(VLOOKUP(D65,'参数与锚点'!$K$5:$L$8,2,FALSE),0)</f>
        <v/>
      </c>
    </row>
    <row r="66" ht="33" customHeight="1">
      <c r="A66" s="31" t="inlineStr">
        <is>
          <t>P06</t>
        </is>
      </c>
      <c r="B66" s="31" t="inlineStr">
        <is>
          <t>C2</t>
        </is>
      </c>
      <c r="C66" s="31" t="inlineStr">
        <is>
          <t>付费方、价值与扩展路径</t>
        </is>
      </c>
      <c r="D66" s="91" t="inlineStr">
        <is>
          <t>未提供</t>
        </is>
      </c>
      <c r="E66" s="91" t="str"/>
      <c r="F66" s="91" t="str"/>
      <c r="G66" s="91" t="str"/>
      <c r="H66" s="172" t="n"/>
      <c r="I66" s="163">
        <f>IFERROR(VLOOKUP(D66,'参数与锚点'!$K$5:$L$8,2,FALSE),0)</f>
        <v/>
      </c>
    </row>
    <row r="67" ht="33" customHeight="1">
      <c r="A67" s="31" t="inlineStr">
        <is>
          <t>P06</t>
        </is>
      </c>
      <c r="B67" s="31" t="inlineStr">
        <is>
          <t>C3</t>
        </is>
      </c>
      <c r="C67" s="31" t="inlineStr">
        <is>
          <t>场景具体性与深度优先</t>
        </is>
      </c>
      <c r="D67" s="91" t="inlineStr">
        <is>
          <t>未提供</t>
        </is>
      </c>
      <c r="E67" s="91" t="str"/>
      <c r="F67" s="91" t="str"/>
      <c r="G67" s="91" t="str"/>
      <c r="H67" s="172" t="n"/>
      <c r="I67" s="163">
        <f>IFERROR(VLOOKUP(D67,'参数与锚点'!$K$5:$L$8,2,FALSE),0)</f>
        <v/>
      </c>
    </row>
    <row r="68" ht="33" customHeight="1">
      <c r="A68" s="31" t="inlineStr">
        <is>
          <t>P06</t>
        </is>
      </c>
      <c r="B68" s="31" t="inlineStr">
        <is>
          <t>C4</t>
        </is>
      </c>
      <c r="C68" s="31" t="inlineStr">
        <is>
          <t>行动性与实际结果</t>
        </is>
      </c>
      <c r="D68" s="91" t="inlineStr">
        <is>
          <t>未提供</t>
        </is>
      </c>
      <c r="E68" s="91" t="str"/>
      <c r="F68" s="91" t="str"/>
      <c r="G68" s="91" t="str"/>
      <c r="H68" s="172" t="n"/>
      <c r="I68" s="163">
        <f>IFERROR(VLOOKUP(D68,'参数与锚点'!$K$5:$L$8,2,FALSE),0)</f>
        <v/>
      </c>
    </row>
    <row r="69" ht="33" customHeight="1">
      <c r="A69" s="31" t="inlineStr">
        <is>
          <t>P06</t>
        </is>
      </c>
      <c r="B69" s="31" t="inlineStr">
        <is>
          <t>C5</t>
        </is>
      </c>
      <c r="C69" s="31" t="inlineStr">
        <is>
          <t>Spark不可替代性</t>
        </is>
      </c>
      <c r="D69" s="91" t="inlineStr">
        <is>
          <t>未提供</t>
        </is>
      </c>
      <c r="E69" s="91" t="str"/>
      <c r="F69" s="91" t="str"/>
      <c r="G69" s="91" t="str"/>
      <c r="H69" s="172" t="n"/>
      <c r="I69" s="163">
        <f>IFERROR(VLOOKUP(D69,'参数与锚点'!$K$5:$L$8,2,FALSE),0)</f>
        <v/>
      </c>
    </row>
    <row r="70" ht="33" customHeight="1">
      <c r="A70" s="31" t="inlineStr">
        <is>
          <t>P06</t>
        </is>
      </c>
      <c r="B70" s="31" t="inlineStr">
        <is>
          <t>C6</t>
        </is>
      </c>
      <c r="C70" s="31" t="inlineStr">
        <is>
          <t>能力互补与时间状态价值</t>
        </is>
      </c>
      <c r="D70" s="91" t="inlineStr">
        <is>
          <t>未提供</t>
        </is>
      </c>
      <c r="E70" s="91" t="str"/>
      <c r="F70" s="91" t="str"/>
      <c r="G70" s="91" t="str"/>
      <c r="H70" s="172" t="n"/>
      <c r="I70" s="163">
        <f>IFERROR(VLOOKUP(D70,'参数与锚点'!$K$5:$L$8,2,FALSE),0)</f>
        <v/>
      </c>
    </row>
    <row r="71" ht="33" customHeight="1">
      <c r="A71" s="31" t="inlineStr">
        <is>
          <t>P06</t>
        </is>
      </c>
      <c r="B71" s="31" t="inlineStr">
        <is>
          <t>C7</t>
        </is>
      </c>
      <c r="C71" s="31" t="inlineStr">
        <is>
          <t>核心价值闭环≤90秒</t>
        </is>
      </c>
      <c r="D71" s="91" t="inlineStr">
        <is>
          <t>未提供</t>
        </is>
      </c>
      <c r="E71" s="91" t="str"/>
      <c r="F71" s="91" t="str"/>
      <c r="G71" s="91" t="str"/>
      <c r="H71" s="172" t="n"/>
      <c r="I71" s="163">
        <f>IFERROR(VLOOKUP(D71,'参数与锚点'!$K$5:$L$8,2,FALSE),0)</f>
        <v/>
      </c>
    </row>
    <row r="72" ht="33" customHeight="1">
      <c r="A72" s="31" t="inlineStr">
        <is>
          <t>P06</t>
        </is>
      </c>
      <c r="B72" s="31" t="inlineStr">
        <is>
          <t>C8</t>
        </is>
      </c>
      <c r="C72" s="31" t="inlineStr">
        <is>
          <t>可视化、直观性与wow</t>
        </is>
      </c>
      <c r="D72" s="91" t="inlineStr">
        <is>
          <t>未提供</t>
        </is>
      </c>
      <c r="E72" s="91" t="str"/>
      <c r="F72" s="91" t="str"/>
      <c r="G72" s="91" t="str"/>
      <c r="H72" s="172" t="n"/>
      <c r="I72" s="163">
        <f>IFERROR(VLOOKUP(D72,'参数与锚点'!$K$5:$L$8,2,FALSE),0)</f>
        <v/>
      </c>
    </row>
    <row r="73" ht="33" customHeight="1">
      <c r="A73" s="31" t="inlineStr">
        <is>
          <t>P06</t>
        </is>
      </c>
      <c r="B73" s="31" t="inlineStr">
        <is>
          <t>C9</t>
        </is>
      </c>
      <c r="C73" s="31" t="inlineStr">
        <is>
          <t>数据可信、合法与可获得</t>
        </is>
      </c>
      <c r="D73" s="91" t="inlineStr">
        <is>
          <t>未提供</t>
        </is>
      </c>
      <c r="E73" s="91" t="str"/>
      <c r="F73" s="91" t="str"/>
      <c r="G73" s="91" t="str"/>
      <c r="H73" s="172" t="n"/>
      <c r="I73" s="163">
        <f>IFERROR(VLOOKUP(D73,'参数与锚点'!$K$5:$L$8,2,FALSE),0)</f>
        <v/>
      </c>
    </row>
    <row r="74" ht="33" customHeight="1">
      <c r="A74" s="31" t="inlineStr">
        <is>
          <t>P06</t>
        </is>
      </c>
      <c r="B74" s="31" t="inlineStr">
        <is>
          <t>C10</t>
        </is>
      </c>
      <c r="C74" s="31" t="inlineStr">
        <is>
          <t>异常定义、指标与透明审计</t>
        </is>
      </c>
      <c r="D74" s="91" t="inlineStr">
        <is>
          <t>未提供</t>
        </is>
      </c>
      <c r="E74" s="91" t="str"/>
      <c r="F74" s="91" t="str"/>
      <c r="G74" s="91" t="str"/>
      <c r="H74" s="172" t="n"/>
      <c r="I74" s="163">
        <f>IFERROR(VLOOKUP(D74,'参数与锚点'!$K$5:$L$8,2,FALSE),0)</f>
        <v/>
      </c>
    </row>
    <row r="75" ht="33" customHeight="1">
      <c r="A75" s="31" t="inlineStr">
        <is>
          <t>P06</t>
        </is>
      </c>
      <c r="B75" s="31" t="inlineStr">
        <is>
          <t>C11</t>
        </is>
      </c>
      <c r="C75" s="31" t="inlineStr">
        <is>
          <t>前72h最小端到端链路</t>
        </is>
      </c>
      <c r="D75" s="91" t="inlineStr">
        <is>
          <t>未提供</t>
        </is>
      </c>
      <c r="E75" s="91" t="str"/>
      <c r="F75" s="91" t="str"/>
      <c r="G75" s="91" t="str"/>
      <c r="H75" s="172" t="n"/>
      <c r="I75" s="163">
        <f>IFERROR(VLOOKUP(D75,'参数与锚点'!$K$5:$L$8,2,FALSE),0)</f>
        <v/>
      </c>
    </row>
    <row r="76" ht="33" customHeight="1">
      <c r="A76" s="31" t="inlineStr">
        <is>
          <t>P06</t>
        </is>
      </c>
      <c r="B76" s="31" t="inlineStr">
        <is>
          <t>C12</t>
        </is>
      </c>
      <c r="C76" s="31" t="inlineStr">
        <is>
          <t>技术风险、资源预算与降级</t>
        </is>
      </c>
      <c r="D76" s="91" t="inlineStr">
        <is>
          <t>未提供</t>
        </is>
      </c>
      <c r="E76" s="91" t="str"/>
      <c r="F76" s="91" t="str"/>
      <c r="G76" s="91" t="str"/>
      <c r="H76" s="172" t="n"/>
      <c r="I76" s="163">
        <f>IFERROR(VLOOKUP(D76,'参数与锚点'!$K$5:$L$8,2,FALSE),0)</f>
        <v/>
      </c>
    </row>
    <row r="77" ht="33" customHeight="1">
      <c r="A77" s="31" t="inlineStr">
        <is>
          <t>P07</t>
        </is>
      </c>
      <c r="B77" s="31" t="inlineStr">
        <is>
          <t>C1</t>
        </is>
      </c>
      <c r="C77" s="31" t="inlineStr">
        <is>
          <t>痛点强度与用户清晰度</t>
        </is>
      </c>
      <c r="D77" s="91" t="inlineStr">
        <is>
          <t>未提供</t>
        </is>
      </c>
      <c r="E77" s="91" t="str"/>
      <c r="F77" s="91" t="str"/>
      <c r="G77" s="91" t="str"/>
      <c r="H77" s="172" t="n"/>
      <c r="I77" s="163">
        <f>IFERROR(VLOOKUP(D77,'参数与锚点'!$K$5:$L$8,2,FALSE),0)</f>
        <v/>
      </c>
    </row>
    <row r="78" ht="33" customHeight="1">
      <c r="A78" s="31" t="inlineStr">
        <is>
          <t>P07</t>
        </is>
      </c>
      <c r="B78" s="31" t="inlineStr">
        <is>
          <t>C2</t>
        </is>
      </c>
      <c r="C78" s="31" t="inlineStr">
        <is>
          <t>付费方、价值与扩展路径</t>
        </is>
      </c>
      <c r="D78" s="91" t="inlineStr">
        <is>
          <t>未提供</t>
        </is>
      </c>
      <c r="E78" s="91" t="str"/>
      <c r="F78" s="91" t="str"/>
      <c r="G78" s="91" t="str"/>
      <c r="H78" s="172" t="n"/>
      <c r="I78" s="163">
        <f>IFERROR(VLOOKUP(D78,'参数与锚点'!$K$5:$L$8,2,FALSE),0)</f>
        <v/>
      </c>
    </row>
    <row r="79" ht="33" customHeight="1">
      <c r="A79" s="31" t="inlineStr">
        <is>
          <t>P07</t>
        </is>
      </c>
      <c r="B79" s="31" t="inlineStr">
        <is>
          <t>C3</t>
        </is>
      </c>
      <c r="C79" s="31" t="inlineStr">
        <is>
          <t>场景具体性与深度优先</t>
        </is>
      </c>
      <c r="D79" s="91" t="inlineStr">
        <is>
          <t>未提供</t>
        </is>
      </c>
      <c r="E79" s="91" t="str"/>
      <c r="F79" s="91" t="str"/>
      <c r="G79" s="91" t="str"/>
      <c r="H79" s="172" t="n"/>
      <c r="I79" s="163">
        <f>IFERROR(VLOOKUP(D79,'参数与锚点'!$K$5:$L$8,2,FALSE),0)</f>
        <v/>
      </c>
    </row>
    <row r="80" ht="33" customHeight="1">
      <c r="A80" s="31" t="inlineStr">
        <is>
          <t>P07</t>
        </is>
      </c>
      <c r="B80" s="31" t="inlineStr">
        <is>
          <t>C4</t>
        </is>
      </c>
      <c r="C80" s="31" t="inlineStr">
        <is>
          <t>行动性与实际结果</t>
        </is>
      </c>
      <c r="D80" s="91" t="inlineStr">
        <is>
          <t>未提供</t>
        </is>
      </c>
      <c r="E80" s="91" t="str"/>
      <c r="F80" s="91" t="str"/>
      <c r="G80" s="91" t="str"/>
      <c r="H80" s="172" t="n"/>
      <c r="I80" s="163">
        <f>IFERROR(VLOOKUP(D80,'参数与锚点'!$K$5:$L$8,2,FALSE),0)</f>
        <v/>
      </c>
    </row>
    <row r="81" ht="33" customHeight="1">
      <c r="A81" s="31" t="inlineStr">
        <is>
          <t>P07</t>
        </is>
      </c>
      <c r="B81" s="31" t="inlineStr">
        <is>
          <t>C5</t>
        </is>
      </c>
      <c r="C81" s="31" t="inlineStr">
        <is>
          <t>Spark不可替代性</t>
        </is>
      </c>
      <c r="D81" s="91" t="inlineStr">
        <is>
          <t>未提供</t>
        </is>
      </c>
      <c r="E81" s="91" t="str"/>
      <c r="F81" s="91" t="str"/>
      <c r="G81" s="91" t="str"/>
      <c r="H81" s="172" t="n"/>
      <c r="I81" s="163">
        <f>IFERROR(VLOOKUP(D81,'参数与锚点'!$K$5:$L$8,2,FALSE),0)</f>
        <v/>
      </c>
    </row>
    <row r="82" ht="33" customHeight="1">
      <c r="A82" s="31" t="inlineStr">
        <is>
          <t>P07</t>
        </is>
      </c>
      <c r="B82" s="31" t="inlineStr">
        <is>
          <t>C6</t>
        </is>
      </c>
      <c r="C82" s="31" t="inlineStr">
        <is>
          <t>能力互补与时间状态价值</t>
        </is>
      </c>
      <c r="D82" s="91" t="inlineStr">
        <is>
          <t>未提供</t>
        </is>
      </c>
      <c r="E82" s="91" t="str"/>
      <c r="F82" s="91" t="str"/>
      <c r="G82" s="91" t="str"/>
      <c r="H82" s="172" t="n"/>
      <c r="I82" s="163">
        <f>IFERROR(VLOOKUP(D82,'参数与锚点'!$K$5:$L$8,2,FALSE),0)</f>
        <v/>
      </c>
    </row>
    <row r="83" ht="33" customHeight="1">
      <c r="A83" s="31" t="inlineStr">
        <is>
          <t>P07</t>
        </is>
      </c>
      <c r="B83" s="31" t="inlineStr">
        <is>
          <t>C7</t>
        </is>
      </c>
      <c r="C83" s="31" t="inlineStr">
        <is>
          <t>核心价值闭环≤90秒</t>
        </is>
      </c>
      <c r="D83" s="91" t="inlineStr">
        <is>
          <t>未提供</t>
        </is>
      </c>
      <c r="E83" s="91" t="str"/>
      <c r="F83" s="91" t="str"/>
      <c r="G83" s="91" t="str"/>
      <c r="H83" s="172" t="n"/>
      <c r="I83" s="163">
        <f>IFERROR(VLOOKUP(D83,'参数与锚点'!$K$5:$L$8,2,FALSE),0)</f>
        <v/>
      </c>
    </row>
    <row r="84" ht="33" customHeight="1">
      <c r="A84" s="31" t="inlineStr">
        <is>
          <t>P07</t>
        </is>
      </c>
      <c r="B84" s="31" t="inlineStr">
        <is>
          <t>C8</t>
        </is>
      </c>
      <c r="C84" s="31" t="inlineStr">
        <is>
          <t>可视化、直观性与wow</t>
        </is>
      </c>
      <c r="D84" s="91" t="inlineStr">
        <is>
          <t>未提供</t>
        </is>
      </c>
      <c r="E84" s="91" t="str"/>
      <c r="F84" s="91" t="str"/>
      <c r="G84" s="91" t="str"/>
      <c r="H84" s="172" t="n"/>
      <c r="I84" s="163">
        <f>IFERROR(VLOOKUP(D84,'参数与锚点'!$K$5:$L$8,2,FALSE),0)</f>
        <v/>
      </c>
    </row>
    <row r="85" ht="33" customHeight="1">
      <c r="A85" s="31" t="inlineStr">
        <is>
          <t>P07</t>
        </is>
      </c>
      <c r="B85" s="31" t="inlineStr">
        <is>
          <t>C9</t>
        </is>
      </c>
      <c r="C85" s="31" t="inlineStr">
        <is>
          <t>数据可信、合法与可获得</t>
        </is>
      </c>
      <c r="D85" s="91" t="inlineStr">
        <is>
          <t>未提供</t>
        </is>
      </c>
      <c r="E85" s="91" t="str"/>
      <c r="F85" s="91" t="str"/>
      <c r="G85" s="91" t="str"/>
      <c r="H85" s="172" t="n"/>
      <c r="I85" s="163">
        <f>IFERROR(VLOOKUP(D85,'参数与锚点'!$K$5:$L$8,2,FALSE),0)</f>
        <v/>
      </c>
    </row>
    <row r="86" ht="33" customHeight="1">
      <c r="A86" s="31" t="inlineStr">
        <is>
          <t>P07</t>
        </is>
      </c>
      <c r="B86" s="31" t="inlineStr">
        <is>
          <t>C10</t>
        </is>
      </c>
      <c r="C86" s="31" t="inlineStr">
        <is>
          <t>异常定义、指标与透明审计</t>
        </is>
      </c>
      <c r="D86" s="91" t="inlineStr">
        <is>
          <t>未提供</t>
        </is>
      </c>
      <c r="E86" s="91" t="str"/>
      <c r="F86" s="91" t="str"/>
      <c r="G86" s="91" t="str"/>
      <c r="H86" s="172" t="n"/>
      <c r="I86" s="163">
        <f>IFERROR(VLOOKUP(D86,'参数与锚点'!$K$5:$L$8,2,FALSE),0)</f>
        <v/>
      </c>
    </row>
    <row r="87" ht="33" customHeight="1">
      <c r="A87" s="31" t="inlineStr">
        <is>
          <t>P07</t>
        </is>
      </c>
      <c r="B87" s="31" t="inlineStr">
        <is>
          <t>C11</t>
        </is>
      </c>
      <c r="C87" s="31" t="inlineStr">
        <is>
          <t>前72h最小端到端链路</t>
        </is>
      </c>
      <c r="D87" s="91" t="inlineStr">
        <is>
          <t>未提供</t>
        </is>
      </c>
      <c r="E87" s="91" t="str"/>
      <c r="F87" s="91" t="str"/>
      <c r="G87" s="91" t="str"/>
      <c r="H87" s="172" t="n"/>
      <c r="I87" s="163">
        <f>IFERROR(VLOOKUP(D87,'参数与锚点'!$K$5:$L$8,2,FALSE),0)</f>
        <v/>
      </c>
    </row>
    <row r="88" ht="33" customHeight="1">
      <c r="A88" s="31" t="inlineStr">
        <is>
          <t>P07</t>
        </is>
      </c>
      <c r="B88" s="31" t="inlineStr">
        <is>
          <t>C12</t>
        </is>
      </c>
      <c r="C88" s="31" t="inlineStr">
        <is>
          <t>技术风险、资源预算与降级</t>
        </is>
      </c>
      <c r="D88" s="91" t="inlineStr">
        <is>
          <t>未提供</t>
        </is>
      </c>
      <c r="E88" s="91" t="str"/>
      <c r="F88" s="91" t="str"/>
      <c r="G88" s="91" t="str"/>
      <c r="H88" s="172" t="n"/>
      <c r="I88" s="163">
        <f>IFERROR(VLOOKUP(D88,'参数与锚点'!$K$5:$L$8,2,FALSE),0)</f>
        <v/>
      </c>
    </row>
    <row r="89" ht="33" customHeight="1">
      <c r="A89" s="31" t="inlineStr">
        <is>
          <t>P08</t>
        </is>
      </c>
      <c r="B89" s="31" t="inlineStr">
        <is>
          <t>C1</t>
        </is>
      </c>
      <c r="C89" s="31" t="inlineStr">
        <is>
          <t>痛点强度与用户清晰度</t>
        </is>
      </c>
      <c r="D89" s="91" t="inlineStr">
        <is>
          <t>未提供</t>
        </is>
      </c>
      <c r="E89" s="91" t="str"/>
      <c r="F89" s="91" t="str"/>
      <c r="G89" s="91" t="str"/>
      <c r="H89" s="172" t="n"/>
      <c r="I89" s="163">
        <f>IFERROR(VLOOKUP(D89,'参数与锚点'!$K$5:$L$8,2,FALSE),0)</f>
        <v/>
      </c>
    </row>
    <row r="90" ht="33" customHeight="1">
      <c r="A90" s="31" t="inlineStr">
        <is>
          <t>P08</t>
        </is>
      </c>
      <c r="B90" s="31" t="inlineStr">
        <is>
          <t>C2</t>
        </is>
      </c>
      <c r="C90" s="31" t="inlineStr">
        <is>
          <t>付费方、价值与扩展路径</t>
        </is>
      </c>
      <c r="D90" s="91" t="inlineStr">
        <is>
          <t>未提供</t>
        </is>
      </c>
      <c r="E90" s="91" t="str"/>
      <c r="F90" s="91" t="str"/>
      <c r="G90" s="91" t="str"/>
      <c r="H90" s="172" t="n"/>
      <c r="I90" s="163">
        <f>IFERROR(VLOOKUP(D90,'参数与锚点'!$K$5:$L$8,2,FALSE),0)</f>
        <v/>
      </c>
    </row>
    <row r="91" ht="33" customHeight="1">
      <c r="A91" s="31" t="inlineStr">
        <is>
          <t>P08</t>
        </is>
      </c>
      <c r="B91" s="31" t="inlineStr">
        <is>
          <t>C3</t>
        </is>
      </c>
      <c r="C91" s="31" t="inlineStr">
        <is>
          <t>场景具体性与深度优先</t>
        </is>
      </c>
      <c r="D91" s="91" t="inlineStr">
        <is>
          <t>未提供</t>
        </is>
      </c>
      <c r="E91" s="91" t="str"/>
      <c r="F91" s="91" t="str"/>
      <c r="G91" s="91" t="str"/>
      <c r="H91" s="172" t="n"/>
      <c r="I91" s="163">
        <f>IFERROR(VLOOKUP(D91,'参数与锚点'!$K$5:$L$8,2,FALSE),0)</f>
        <v/>
      </c>
    </row>
    <row r="92" ht="33" customHeight="1">
      <c r="A92" s="31" t="inlineStr">
        <is>
          <t>P08</t>
        </is>
      </c>
      <c r="B92" s="31" t="inlineStr">
        <is>
          <t>C4</t>
        </is>
      </c>
      <c r="C92" s="31" t="inlineStr">
        <is>
          <t>行动性与实际结果</t>
        </is>
      </c>
      <c r="D92" s="91" t="inlineStr">
        <is>
          <t>未提供</t>
        </is>
      </c>
      <c r="E92" s="91" t="str"/>
      <c r="F92" s="91" t="str"/>
      <c r="G92" s="91" t="str"/>
      <c r="H92" s="172" t="n"/>
      <c r="I92" s="163">
        <f>IFERROR(VLOOKUP(D92,'参数与锚点'!$K$5:$L$8,2,FALSE),0)</f>
        <v/>
      </c>
    </row>
    <row r="93" ht="33" customHeight="1">
      <c r="A93" s="31" t="inlineStr">
        <is>
          <t>P08</t>
        </is>
      </c>
      <c r="B93" s="31" t="inlineStr">
        <is>
          <t>C5</t>
        </is>
      </c>
      <c r="C93" s="31" t="inlineStr">
        <is>
          <t>Spark不可替代性</t>
        </is>
      </c>
      <c r="D93" s="91" t="inlineStr">
        <is>
          <t>未提供</t>
        </is>
      </c>
      <c r="E93" s="91" t="str"/>
      <c r="F93" s="91" t="str"/>
      <c r="G93" s="91" t="str"/>
      <c r="H93" s="172" t="n"/>
      <c r="I93" s="163">
        <f>IFERROR(VLOOKUP(D93,'参数与锚点'!$K$5:$L$8,2,FALSE),0)</f>
        <v/>
      </c>
    </row>
    <row r="94" ht="33" customHeight="1">
      <c r="A94" s="31" t="inlineStr">
        <is>
          <t>P08</t>
        </is>
      </c>
      <c r="B94" s="31" t="inlineStr">
        <is>
          <t>C6</t>
        </is>
      </c>
      <c r="C94" s="31" t="inlineStr">
        <is>
          <t>能力互补与时间状态价值</t>
        </is>
      </c>
      <c r="D94" s="91" t="inlineStr">
        <is>
          <t>未提供</t>
        </is>
      </c>
      <c r="E94" s="91" t="str"/>
      <c r="F94" s="91" t="str"/>
      <c r="G94" s="91" t="str"/>
      <c r="H94" s="172" t="n"/>
      <c r="I94" s="163">
        <f>IFERROR(VLOOKUP(D94,'参数与锚点'!$K$5:$L$8,2,FALSE),0)</f>
        <v/>
      </c>
    </row>
    <row r="95" ht="33" customHeight="1">
      <c r="A95" s="31" t="inlineStr">
        <is>
          <t>P08</t>
        </is>
      </c>
      <c r="B95" s="31" t="inlineStr">
        <is>
          <t>C7</t>
        </is>
      </c>
      <c r="C95" s="31" t="inlineStr">
        <is>
          <t>核心价值闭环≤90秒</t>
        </is>
      </c>
      <c r="D95" s="91" t="inlineStr">
        <is>
          <t>未提供</t>
        </is>
      </c>
      <c r="E95" s="91" t="str"/>
      <c r="F95" s="91" t="str"/>
      <c r="G95" s="91" t="str"/>
      <c r="H95" s="172" t="n"/>
      <c r="I95" s="163">
        <f>IFERROR(VLOOKUP(D95,'参数与锚点'!$K$5:$L$8,2,FALSE),0)</f>
        <v/>
      </c>
    </row>
    <row r="96" ht="33" customHeight="1">
      <c r="A96" s="31" t="inlineStr">
        <is>
          <t>P08</t>
        </is>
      </c>
      <c r="B96" s="31" t="inlineStr">
        <is>
          <t>C8</t>
        </is>
      </c>
      <c r="C96" s="31" t="inlineStr">
        <is>
          <t>可视化、直观性与wow</t>
        </is>
      </c>
      <c r="D96" s="91" t="inlineStr">
        <is>
          <t>未提供</t>
        </is>
      </c>
      <c r="E96" s="91" t="str"/>
      <c r="F96" s="91" t="str"/>
      <c r="G96" s="91" t="str"/>
      <c r="H96" s="172" t="n"/>
      <c r="I96" s="163">
        <f>IFERROR(VLOOKUP(D96,'参数与锚点'!$K$5:$L$8,2,FALSE),0)</f>
        <v/>
      </c>
    </row>
    <row r="97" ht="33" customHeight="1">
      <c r="A97" s="31" t="inlineStr">
        <is>
          <t>P08</t>
        </is>
      </c>
      <c r="B97" s="31" t="inlineStr">
        <is>
          <t>C9</t>
        </is>
      </c>
      <c r="C97" s="31" t="inlineStr">
        <is>
          <t>数据可信、合法与可获得</t>
        </is>
      </c>
      <c r="D97" s="91" t="inlineStr">
        <is>
          <t>未提供</t>
        </is>
      </c>
      <c r="E97" s="91" t="str"/>
      <c r="F97" s="91" t="str"/>
      <c r="G97" s="91" t="str"/>
      <c r="H97" s="172" t="n"/>
      <c r="I97" s="163">
        <f>IFERROR(VLOOKUP(D97,'参数与锚点'!$K$5:$L$8,2,FALSE),0)</f>
        <v/>
      </c>
    </row>
    <row r="98" ht="33" customHeight="1">
      <c r="A98" s="31" t="inlineStr">
        <is>
          <t>P08</t>
        </is>
      </c>
      <c r="B98" s="31" t="inlineStr">
        <is>
          <t>C10</t>
        </is>
      </c>
      <c r="C98" s="31" t="inlineStr">
        <is>
          <t>异常定义、指标与透明审计</t>
        </is>
      </c>
      <c r="D98" s="91" t="inlineStr">
        <is>
          <t>未提供</t>
        </is>
      </c>
      <c r="E98" s="91" t="str"/>
      <c r="F98" s="91" t="str"/>
      <c r="G98" s="91" t="str"/>
      <c r="H98" s="172" t="n"/>
      <c r="I98" s="163">
        <f>IFERROR(VLOOKUP(D98,'参数与锚点'!$K$5:$L$8,2,FALSE),0)</f>
        <v/>
      </c>
    </row>
    <row r="99" ht="33" customHeight="1">
      <c r="A99" s="31" t="inlineStr">
        <is>
          <t>P08</t>
        </is>
      </c>
      <c r="B99" s="31" t="inlineStr">
        <is>
          <t>C11</t>
        </is>
      </c>
      <c r="C99" s="31" t="inlineStr">
        <is>
          <t>前72h最小端到端链路</t>
        </is>
      </c>
      <c r="D99" s="91" t="inlineStr">
        <is>
          <t>未提供</t>
        </is>
      </c>
      <c r="E99" s="91" t="str"/>
      <c r="F99" s="91" t="str"/>
      <c r="G99" s="91" t="str"/>
      <c r="H99" s="172" t="n"/>
      <c r="I99" s="163">
        <f>IFERROR(VLOOKUP(D99,'参数与锚点'!$K$5:$L$8,2,FALSE),0)</f>
        <v/>
      </c>
    </row>
    <row r="100" ht="33" customHeight="1">
      <c r="A100" s="31" t="inlineStr">
        <is>
          <t>P08</t>
        </is>
      </c>
      <c r="B100" s="31" t="inlineStr">
        <is>
          <t>C12</t>
        </is>
      </c>
      <c r="C100" s="31" t="inlineStr">
        <is>
          <t>技术风险、资源预算与降级</t>
        </is>
      </c>
      <c r="D100" s="91" t="inlineStr">
        <is>
          <t>未提供</t>
        </is>
      </c>
      <c r="E100" s="91" t="str"/>
      <c r="F100" s="91" t="str"/>
      <c r="G100" s="91" t="str"/>
      <c r="H100" s="172" t="n"/>
      <c r="I100" s="163">
        <f>IFERROR(VLOOKUP(D100,'参数与锚点'!$K$5:$L$8,2,FALSE),0)</f>
        <v/>
      </c>
    </row>
    <row r="101" ht="33" customHeight="1">
      <c r="A101" s="31" t="inlineStr">
        <is>
          <t>P09</t>
        </is>
      </c>
      <c r="B101" s="31" t="inlineStr">
        <is>
          <t>C1</t>
        </is>
      </c>
      <c r="C101" s="31" t="inlineStr">
        <is>
          <t>痛点强度与用户清晰度</t>
        </is>
      </c>
      <c r="D101" s="91" t="inlineStr">
        <is>
          <t>未提供</t>
        </is>
      </c>
      <c r="E101" s="91" t="str"/>
      <c r="F101" s="91" t="str"/>
      <c r="G101" s="91" t="str"/>
      <c r="H101" s="172" t="n"/>
      <c r="I101" s="163">
        <f>IFERROR(VLOOKUP(D101,'参数与锚点'!$K$5:$L$8,2,FALSE),0)</f>
        <v/>
      </c>
    </row>
    <row r="102" ht="33" customHeight="1">
      <c r="A102" s="31" t="inlineStr">
        <is>
          <t>P09</t>
        </is>
      </c>
      <c r="B102" s="31" t="inlineStr">
        <is>
          <t>C2</t>
        </is>
      </c>
      <c r="C102" s="31" t="inlineStr">
        <is>
          <t>付费方、价值与扩展路径</t>
        </is>
      </c>
      <c r="D102" s="91" t="inlineStr">
        <is>
          <t>未提供</t>
        </is>
      </c>
      <c r="E102" s="91" t="str"/>
      <c r="F102" s="91" t="str"/>
      <c r="G102" s="91" t="str"/>
      <c r="H102" s="172" t="n"/>
      <c r="I102" s="163">
        <f>IFERROR(VLOOKUP(D102,'参数与锚点'!$K$5:$L$8,2,FALSE),0)</f>
        <v/>
      </c>
    </row>
    <row r="103" ht="33" customHeight="1">
      <c r="A103" s="31" t="inlineStr">
        <is>
          <t>P09</t>
        </is>
      </c>
      <c r="B103" s="31" t="inlineStr">
        <is>
          <t>C3</t>
        </is>
      </c>
      <c r="C103" s="31" t="inlineStr">
        <is>
          <t>场景具体性与深度优先</t>
        </is>
      </c>
      <c r="D103" s="91" t="inlineStr">
        <is>
          <t>未提供</t>
        </is>
      </c>
      <c r="E103" s="91" t="str"/>
      <c r="F103" s="91" t="str"/>
      <c r="G103" s="91" t="str"/>
      <c r="H103" s="172" t="n"/>
      <c r="I103" s="163">
        <f>IFERROR(VLOOKUP(D103,'参数与锚点'!$K$5:$L$8,2,FALSE),0)</f>
        <v/>
      </c>
    </row>
    <row r="104" ht="33" customHeight="1">
      <c r="A104" s="31" t="inlineStr">
        <is>
          <t>P09</t>
        </is>
      </c>
      <c r="B104" s="31" t="inlineStr">
        <is>
          <t>C4</t>
        </is>
      </c>
      <c r="C104" s="31" t="inlineStr">
        <is>
          <t>行动性与实际结果</t>
        </is>
      </c>
      <c r="D104" s="91" t="inlineStr">
        <is>
          <t>未提供</t>
        </is>
      </c>
      <c r="E104" s="91" t="str"/>
      <c r="F104" s="91" t="str"/>
      <c r="G104" s="91" t="str"/>
      <c r="H104" s="172" t="n"/>
      <c r="I104" s="163">
        <f>IFERROR(VLOOKUP(D104,'参数与锚点'!$K$5:$L$8,2,FALSE),0)</f>
        <v/>
      </c>
    </row>
    <row r="105" ht="33" customHeight="1">
      <c r="A105" s="31" t="inlineStr">
        <is>
          <t>P09</t>
        </is>
      </c>
      <c r="B105" s="31" t="inlineStr">
        <is>
          <t>C5</t>
        </is>
      </c>
      <c r="C105" s="31" t="inlineStr">
        <is>
          <t>Spark不可替代性</t>
        </is>
      </c>
      <c r="D105" s="91" t="inlineStr">
        <is>
          <t>未提供</t>
        </is>
      </c>
      <c r="E105" s="91" t="str"/>
      <c r="F105" s="91" t="str"/>
      <c r="G105" s="91" t="str"/>
      <c r="H105" s="172" t="n"/>
      <c r="I105" s="163">
        <f>IFERROR(VLOOKUP(D105,'参数与锚点'!$K$5:$L$8,2,FALSE),0)</f>
        <v/>
      </c>
    </row>
    <row r="106" ht="33" customHeight="1">
      <c r="A106" s="31" t="inlineStr">
        <is>
          <t>P09</t>
        </is>
      </c>
      <c r="B106" s="31" t="inlineStr">
        <is>
          <t>C6</t>
        </is>
      </c>
      <c r="C106" s="31" t="inlineStr">
        <is>
          <t>能力互补与时间状态价值</t>
        </is>
      </c>
      <c r="D106" s="91" t="inlineStr">
        <is>
          <t>未提供</t>
        </is>
      </c>
      <c r="E106" s="91" t="str"/>
      <c r="F106" s="91" t="str"/>
      <c r="G106" s="91" t="str"/>
      <c r="H106" s="172" t="n"/>
      <c r="I106" s="163">
        <f>IFERROR(VLOOKUP(D106,'参数与锚点'!$K$5:$L$8,2,FALSE),0)</f>
        <v/>
      </c>
    </row>
    <row r="107" ht="33" customHeight="1">
      <c r="A107" s="31" t="inlineStr">
        <is>
          <t>P09</t>
        </is>
      </c>
      <c r="B107" s="31" t="inlineStr">
        <is>
          <t>C7</t>
        </is>
      </c>
      <c r="C107" s="31" t="inlineStr">
        <is>
          <t>核心价值闭环≤90秒</t>
        </is>
      </c>
      <c r="D107" s="91" t="inlineStr">
        <is>
          <t>未提供</t>
        </is>
      </c>
      <c r="E107" s="91" t="str"/>
      <c r="F107" s="91" t="str"/>
      <c r="G107" s="91" t="str"/>
      <c r="H107" s="172" t="n"/>
      <c r="I107" s="163">
        <f>IFERROR(VLOOKUP(D107,'参数与锚点'!$K$5:$L$8,2,FALSE),0)</f>
        <v/>
      </c>
    </row>
    <row r="108" ht="33" customHeight="1">
      <c r="A108" s="31" t="inlineStr">
        <is>
          <t>P09</t>
        </is>
      </c>
      <c r="B108" s="31" t="inlineStr">
        <is>
          <t>C8</t>
        </is>
      </c>
      <c r="C108" s="31" t="inlineStr">
        <is>
          <t>可视化、直观性与wow</t>
        </is>
      </c>
      <c r="D108" s="91" t="inlineStr">
        <is>
          <t>未提供</t>
        </is>
      </c>
      <c r="E108" s="91" t="str"/>
      <c r="F108" s="91" t="str"/>
      <c r="G108" s="91" t="str"/>
      <c r="H108" s="172" t="n"/>
      <c r="I108" s="163">
        <f>IFERROR(VLOOKUP(D108,'参数与锚点'!$K$5:$L$8,2,FALSE),0)</f>
        <v/>
      </c>
    </row>
    <row r="109" ht="33" customHeight="1">
      <c r="A109" s="31" t="inlineStr">
        <is>
          <t>P09</t>
        </is>
      </c>
      <c r="B109" s="31" t="inlineStr">
        <is>
          <t>C9</t>
        </is>
      </c>
      <c r="C109" s="31" t="inlineStr">
        <is>
          <t>数据可信、合法与可获得</t>
        </is>
      </c>
      <c r="D109" s="91" t="inlineStr">
        <is>
          <t>未提供</t>
        </is>
      </c>
      <c r="E109" s="91" t="str"/>
      <c r="F109" s="91" t="str"/>
      <c r="G109" s="91" t="str"/>
      <c r="H109" s="172" t="n"/>
      <c r="I109" s="163">
        <f>IFERROR(VLOOKUP(D109,'参数与锚点'!$K$5:$L$8,2,FALSE),0)</f>
        <v/>
      </c>
    </row>
    <row r="110" ht="33" customHeight="1">
      <c r="A110" s="31" t="inlineStr">
        <is>
          <t>P09</t>
        </is>
      </c>
      <c r="B110" s="31" t="inlineStr">
        <is>
          <t>C10</t>
        </is>
      </c>
      <c r="C110" s="31" t="inlineStr">
        <is>
          <t>异常定义、指标与透明审计</t>
        </is>
      </c>
      <c r="D110" s="91" t="inlineStr">
        <is>
          <t>未提供</t>
        </is>
      </c>
      <c r="E110" s="91" t="str"/>
      <c r="F110" s="91" t="str"/>
      <c r="G110" s="91" t="str"/>
      <c r="H110" s="172" t="n"/>
      <c r="I110" s="163">
        <f>IFERROR(VLOOKUP(D110,'参数与锚点'!$K$5:$L$8,2,FALSE),0)</f>
        <v/>
      </c>
    </row>
    <row r="111" ht="33" customHeight="1">
      <c r="A111" s="31" t="inlineStr">
        <is>
          <t>P09</t>
        </is>
      </c>
      <c r="B111" s="31" t="inlineStr">
        <is>
          <t>C11</t>
        </is>
      </c>
      <c r="C111" s="31" t="inlineStr">
        <is>
          <t>前72h最小端到端链路</t>
        </is>
      </c>
      <c r="D111" s="91" t="inlineStr">
        <is>
          <t>未提供</t>
        </is>
      </c>
      <c r="E111" s="91" t="str"/>
      <c r="F111" s="91" t="str"/>
      <c r="G111" s="91" t="str"/>
      <c r="H111" s="172" t="n"/>
      <c r="I111" s="163">
        <f>IFERROR(VLOOKUP(D111,'参数与锚点'!$K$5:$L$8,2,FALSE),0)</f>
        <v/>
      </c>
    </row>
    <row r="112" ht="33" customHeight="1">
      <c r="A112" s="31" t="inlineStr">
        <is>
          <t>P09</t>
        </is>
      </c>
      <c r="B112" s="31" t="inlineStr">
        <is>
          <t>C12</t>
        </is>
      </c>
      <c r="C112" s="31" t="inlineStr">
        <is>
          <t>技术风险、资源预算与降级</t>
        </is>
      </c>
      <c r="D112" s="91" t="inlineStr">
        <is>
          <t>未提供</t>
        </is>
      </c>
      <c r="E112" s="91" t="str"/>
      <c r="F112" s="91" t="str"/>
      <c r="G112" s="91" t="str"/>
      <c r="H112" s="172" t="n"/>
      <c r="I112" s="163">
        <f>IFERROR(VLOOKUP(D112,'参数与锚点'!$K$5:$L$8,2,FALSE),0)</f>
        <v/>
      </c>
    </row>
    <row r="113" ht="33" customHeight="1">
      <c r="A113" s="31" t="inlineStr">
        <is>
          <t>P10</t>
        </is>
      </c>
      <c r="B113" s="31" t="inlineStr">
        <is>
          <t>C1</t>
        </is>
      </c>
      <c r="C113" s="31" t="inlineStr">
        <is>
          <t>痛点强度与用户清晰度</t>
        </is>
      </c>
      <c r="D113" s="91" t="inlineStr">
        <is>
          <t>未提供</t>
        </is>
      </c>
      <c r="E113" s="91" t="str"/>
      <c r="F113" s="91" t="str"/>
      <c r="G113" s="91" t="str"/>
      <c r="H113" s="172" t="n"/>
      <c r="I113" s="163">
        <f>IFERROR(VLOOKUP(D113,'参数与锚点'!$K$5:$L$8,2,FALSE),0)</f>
        <v/>
      </c>
    </row>
    <row r="114" ht="33" customHeight="1">
      <c r="A114" s="31" t="inlineStr">
        <is>
          <t>P10</t>
        </is>
      </c>
      <c r="B114" s="31" t="inlineStr">
        <is>
          <t>C2</t>
        </is>
      </c>
      <c r="C114" s="31" t="inlineStr">
        <is>
          <t>付费方、价值与扩展路径</t>
        </is>
      </c>
      <c r="D114" s="91" t="inlineStr">
        <is>
          <t>未提供</t>
        </is>
      </c>
      <c r="E114" s="91" t="str"/>
      <c r="F114" s="91" t="str"/>
      <c r="G114" s="91" t="str"/>
      <c r="H114" s="172" t="n"/>
      <c r="I114" s="163">
        <f>IFERROR(VLOOKUP(D114,'参数与锚点'!$K$5:$L$8,2,FALSE),0)</f>
        <v/>
      </c>
    </row>
    <row r="115" ht="33" customHeight="1">
      <c r="A115" s="31" t="inlineStr">
        <is>
          <t>P10</t>
        </is>
      </c>
      <c r="B115" s="31" t="inlineStr">
        <is>
          <t>C3</t>
        </is>
      </c>
      <c r="C115" s="31" t="inlineStr">
        <is>
          <t>场景具体性与深度优先</t>
        </is>
      </c>
      <c r="D115" s="91" t="inlineStr">
        <is>
          <t>未提供</t>
        </is>
      </c>
      <c r="E115" s="91" t="str"/>
      <c r="F115" s="91" t="str"/>
      <c r="G115" s="91" t="str"/>
      <c r="H115" s="172" t="n"/>
      <c r="I115" s="163">
        <f>IFERROR(VLOOKUP(D115,'参数与锚点'!$K$5:$L$8,2,FALSE),0)</f>
        <v/>
      </c>
    </row>
    <row r="116" ht="33" customHeight="1">
      <c r="A116" s="31" t="inlineStr">
        <is>
          <t>P10</t>
        </is>
      </c>
      <c r="B116" s="31" t="inlineStr">
        <is>
          <t>C4</t>
        </is>
      </c>
      <c r="C116" s="31" t="inlineStr">
        <is>
          <t>行动性与实际结果</t>
        </is>
      </c>
      <c r="D116" s="91" t="inlineStr">
        <is>
          <t>未提供</t>
        </is>
      </c>
      <c r="E116" s="91" t="str"/>
      <c r="F116" s="91" t="str"/>
      <c r="G116" s="91" t="str"/>
      <c r="H116" s="172" t="n"/>
      <c r="I116" s="163">
        <f>IFERROR(VLOOKUP(D116,'参数与锚点'!$K$5:$L$8,2,FALSE),0)</f>
        <v/>
      </c>
    </row>
    <row r="117" ht="33" customHeight="1">
      <c r="A117" s="31" t="inlineStr">
        <is>
          <t>P10</t>
        </is>
      </c>
      <c r="B117" s="31" t="inlineStr">
        <is>
          <t>C5</t>
        </is>
      </c>
      <c r="C117" s="31" t="inlineStr">
        <is>
          <t>Spark不可替代性</t>
        </is>
      </c>
      <c r="D117" s="91" t="inlineStr">
        <is>
          <t>未提供</t>
        </is>
      </c>
      <c r="E117" s="91" t="str"/>
      <c r="F117" s="91" t="str"/>
      <c r="G117" s="91" t="str"/>
      <c r="H117" s="172" t="n"/>
      <c r="I117" s="163">
        <f>IFERROR(VLOOKUP(D117,'参数与锚点'!$K$5:$L$8,2,FALSE),0)</f>
        <v/>
      </c>
    </row>
    <row r="118" ht="33" customHeight="1">
      <c r="A118" s="31" t="inlineStr">
        <is>
          <t>P10</t>
        </is>
      </c>
      <c r="B118" s="31" t="inlineStr">
        <is>
          <t>C6</t>
        </is>
      </c>
      <c r="C118" s="31" t="inlineStr">
        <is>
          <t>能力互补与时间状态价值</t>
        </is>
      </c>
      <c r="D118" s="91" t="inlineStr">
        <is>
          <t>未提供</t>
        </is>
      </c>
      <c r="E118" s="91" t="str"/>
      <c r="F118" s="91" t="str"/>
      <c r="G118" s="91" t="str"/>
      <c r="H118" s="172" t="n"/>
      <c r="I118" s="163">
        <f>IFERROR(VLOOKUP(D118,'参数与锚点'!$K$5:$L$8,2,FALSE),0)</f>
        <v/>
      </c>
    </row>
    <row r="119" ht="33" customHeight="1">
      <c r="A119" s="31" t="inlineStr">
        <is>
          <t>P10</t>
        </is>
      </c>
      <c r="B119" s="31" t="inlineStr">
        <is>
          <t>C7</t>
        </is>
      </c>
      <c r="C119" s="31" t="inlineStr">
        <is>
          <t>核心价值闭环≤90秒</t>
        </is>
      </c>
      <c r="D119" s="91" t="inlineStr">
        <is>
          <t>未提供</t>
        </is>
      </c>
      <c r="E119" s="91" t="str"/>
      <c r="F119" s="91" t="str"/>
      <c r="G119" s="91" t="str"/>
      <c r="H119" s="172" t="n"/>
      <c r="I119" s="163">
        <f>IFERROR(VLOOKUP(D119,'参数与锚点'!$K$5:$L$8,2,FALSE),0)</f>
        <v/>
      </c>
    </row>
    <row r="120" ht="33" customHeight="1">
      <c r="A120" s="31" t="inlineStr">
        <is>
          <t>P10</t>
        </is>
      </c>
      <c r="B120" s="31" t="inlineStr">
        <is>
          <t>C8</t>
        </is>
      </c>
      <c r="C120" s="31" t="inlineStr">
        <is>
          <t>可视化、直观性与wow</t>
        </is>
      </c>
      <c r="D120" s="91" t="inlineStr">
        <is>
          <t>未提供</t>
        </is>
      </c>
      <c r="E120" s="91" t="str"/>
      <c r="F120" s="91" t="str"/>
      <c r="G120" s="91" t="str"/>
      <c r="H120" s="172" t="n"/>
      <c r="I120" s="163">
        <f>IFERROR(VLOOKUP(D120,'参数与锚点'!$K$5:$L$8,2,FALSE),0)</f>
        <v/>
      </c>
    </row>
    <row r="121" ht="33" customHeight="1">
      <c r="A121" s="31" t="inlineStr">
        <is>
          <t>P10</t>
        </is>
      </c>
      <c r="B121" s="31" t="inlineStr">
        <is>
          <t>C9</t>
        </is>
      </c>
      <c r="C121" s="31" t="inlineStr">
        <is>
          <t>数据可信、合法与可获得</t>
        </is>
      </c>
      <c r="D121" s="91" t="inlineStr">
        <is>
          <t>未提供</t>
        </is>
      </c>
      <c r="E121" s="91" t="str"/>
      <c r="F121" s="91" t="str"/>
      <c r="G121" s="91" t="str"/>
      <c r="H121" s="172" t="n"/>
      <c r="I121" s="163">
        <f>IFERROR(VLOOKUP(D121,'参数与锚点'!$K$5:$L$8,2,FALSE),0)</f>
        <v/>
      </c>
    </row>
    <row r="122" ht="33" customHeight="1">
      <c r="A122" s="31" t="inlineStr">
        <is>
          <t>P10</t>
        </is>
      </c>
      <c r="B122" s="31" t="inlineStr">
        <is>
          <t>C10</t>
        </is>
      </c>
      <c r="C122" s="31" t="inlineStr">
        <is>
          <t>异常定义、指标与透明审计</t>
        </is>
      </c>
      <c r="D122" s="91" t="inlineStr">
        <is>
          <t>未提供</t>
        </is>
      </c>
      <c r="E122" s="91" t="str"/>
      <c r="F122" s="91" t="str"/>
      <c r="G122" s="91" t="str"/>
      <c r="H122" s="172" t="n"/>
      <c r="I122" s="163">
        <f>IFERROR(VLOOKUP(D122,'参数与锚点'!$K$5:$L$8,2,FALSE),0)</f>
        <v/>
      </c>
    </row>
    <row r="123" ht="33" customHeight="1">
      <c r="A123" s="31" t="inlineStr">
        <is>
          <t>P10</t>
        </is>
      </c>
      <c r="B123" s="31" t="inlineStr">
        <is>
          <t>C11</t>
        </is>
      </c>
      <c r="C123" s="31" t="inlineStr">
        <is>
          <t>前72h最小端到端链路</t>
        </is>
      </c>
      <c r="D123" s="91" t="inlineStr">
        <is>
          <t>未提供</t>
        </is>
      </c>
      <c r="E123" s="91" t="str"/>
      <c r="F123" s="91" t="str"/>
      <c r="G123" s="91" t="str"/>
      <c r="H123" s="172" t="n"/>
      <c r="I123" s="163">
        <f>IFERROR(VLOOKUP(D123,'参数与锚点'!$K$5:$L$8,2,FALSE),0)</f>
        <v/>
      </c>
    </row>
    <row r="124" ht="33" customHeight="1">
      <c r="A124" s="32" t="inlineStr">
        <is>
          <t>P10</t>
        </is>
      </c>
      <c r="B124" s="32" t="inlineStr">
        <is>
          <t>C12</t>
        </is>
      </c>
      <c r="C124" s="32" t="inlineStr">
        <is>
          <t>技术风险、资源预算与降级</t>
        </is>
      </c>
      <c r="D124" s="92" t="inlineStr">
        <is>
          <t>未提供</t>
        </is>
      </c>
      <c r="E124" s="92" t="str"/>
      <c r="F124" s="92" t="str"/>
      <c r="G124" s="92" t="str"/>
      <c r="H124" s="173" t="n"/>
      <c r="I124" s="166">
        <f>IFERROR(VLOOKUP(D124,'参数与锚点'!$K$5:$L$8,2,FALSE),0)</f>
        <v/>
      </c>
    </row>
  </sheetData>
  <mergeCells count="2">
    <mergeCell ref="A1:I1"/>
    <mergeCell ref="A2:I2"/>
  </mergeCells>
  <conditionalFormatting sqref="D5:D124">
    <cfRule type="containsText" priority="1" operator="containsText" dxfId="0" text="已验证"/>
    <cfRule type="containsText" priority="2" operator="containsText" dxfId="11" text="有来源"/>
    <cfRule type="containsText" priority="3" operator="containsText" dxfId="12" text="假设"/>
    <cfRule type="containsText" priority="4" operator="containsText" dxfId="13" text="未提供"/>
  </conditionalFormatting>
  <conditionalFormatting sqref="I5:I124">
    <cfRule type="dataBar" priority="5">
      <dataBar>
        <cfvo type="min"/>
        <cfvo type="max"/>
        <color rgb="FF0F766E"/>
      </dataBar>
    </cfRule>
  </conditionalFormatting>
  <dataValidations count="1">
    <dataValidation sqref="D5:D124" showDropDown="0" showInputMessage="0" showErrorMessage="0" allowBlank="0" type="list">
      <formula1>"未提供,假设,有来源,已验证"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2" customWidth="1" min="3" max="3"/>
    <col width="12" customWidth="1" min="4" max="4"/>
    <col width="13" customWidth="1" min="5" max="5"/>
    <col width="13" customWidth="1" min="6" max="6"/>
    <col width="16" customWidth="1" min="7" max="7"/>
    <col width="35" customWidth="1" min="8" max="8"/>
    <col width="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3" customWidth="1" min="16" max="16"/>
    <col width="3" customWidth="1" min="17" max="17"/>
  </cols>
  <sheetData>
    <row r="1" ht="34" customHeight="1">
      <c r="A1" s="4" t="inlineStr">
        <is>
          <t>选题决策面板</t>
        </is>
      </c>
    </row>
    <row r="2" ht="30" customHeight="1">
      <c r="A2" s="9" t="inlineStr">
        <is>
          <t>看四件事：硬门槛是否通过、会议共识总分、证据强度、12项评分是否完整。演示数据仅用于说明工作方式。</t>
        </is>
      </c>
      <c r="B2" s="144" t="n"/>
      <c r="C2" s="144" t="n"/>
      <c r="D2" s="144" t="n"/>
      <c r="E2" s="144" t="n"/>
      <c r="F2" s="144" t="n"/>
      <c r="G2" s="144" t="n"/>
      <c r="H2" s="144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</row>
    <row r="4" ht="34" customHeight="1">
      <c r="A4" s="174">
        <f>COUNT('项目清单'!$AB$5:$AB$14)</f>
        <v/>
      </c>
      <c r="B4" s="158" t="n"/>
      <c r="C4" s="175" t="n"/>
      <c r="E4" s="174">
        <f>COUNTIF('项目清单'!$Q$5:$Q$14,"通过")</f>
        <v/>
      </c>
      <c r="F4" s="158" t="n"/>
      <c r="G4" s="175" t="n"/>
      <c r="I4" s="174">
        <f>COUNTIF('项目清单'!$AC$5:$AC$14,"优先")</f>
        <v/>
      </c>
      <c r="J4" s="158" t="n"/>
      <c r="K4" s="175" t="n"/>
      <c r="M4" s="176">
        <f>MAX('项目清单'!$X$5:$X$14)</f>
        <v/>
      </c>
      <c r="N4" s="158" t="n"/>
      <c r="O4" s="175" t="n"/>
    </row>
    <row r="5">
      <c r="A5" s="177" t="inlineStr">
        <is>
          <t>候选项目</t>
        </is>
      </c>
      <c r="B5" s="178" t="n"/>
      <c r="C5" s="179" t="n"/>
      <c r="E5" s="177" t="inlineStr">
        <is>
          <t>硬门槛全通过</t>
        </is>
      </c>
      <c r="F5" s="178" t="n"/>
      <c r="G5" s="179" t="n"/>
      <c r="I5" s="177" t="inlineStr">
        <is>
          <t>当前优先</t>
        </is>
      </c>
      <c r="J5" s="178" t="n"/>
      <c r="K5" s="179" t="n"/>
      <c r="M5" s="177" t="inlineStr">
        <is>
          <t>最高总分</t>
        </is>
      </c>
      <c r="N5" s="178" t="n"/>
      <c r="O5" s="179" t="n"/>
    </row>
    <row r="7" ht="32" customHeight="1">
      <c r="A7" s="23" t="inlineStr">
        <is>
          <t>排名</t>
        </is>
      </c>
      <c r="B7" s="24" t="inlineStr">
        <is>
          <t>项目</t>
        </is>
      </c>
      <c r="C7" s="24" t="inlineStr">
        <is>
          <t>总分</t>
        </is>
      </c>
      <c r="D7" s="24" t="inlineStr">
        <is>
          <t>证据</t>
        </is>
      </c>
      <c r="E7" s="24" t="inlineStr">
        <is>
          <t>门槛</t>
        </is>
      </c>
      <c r="F7" s="24" t="inlineStr">
        <is>
          <t>评分完整度</t>
        </is>
      </c>
      <c r="G7" s="24" t="inlineStr">
        <is>
          <t>建议</t>
        </is>
      </c>
      <c r="H7" s="25" t="inlineStr">
        <is>
          <t>下一步</t>
        </is>
      </c>
    </row>
    <row r="8" ht="34" customHeight="1">
      <c r="A8" s="30" t="n">
        <v>1</v>
      </c>
      <c r="B8" s="30">
        <f>IFERROR(INDEX('项目清单'!$B$5:$B$14,MATCH(A8,'项目清单'!$AB$5:$AB$14,0)),"")</f>
        <v/>
      </c>
      <c r="C8" s="180">
        <f>IF(B8="","",INDEX('项目清单'!$X$5:$X$14,MATCH(A8,'项目清单'!$AB$5:$AB$14,0)))</f>
        <v/>
      </c>
      <c r="D8" s="153">
        <f>IF(B8="","",INDEX('项目清单'!$Y$5:$Y$14,MATCH(A8,'项目清单'!$AB$5:$AB$14,0)))</f>
        <v/>
      </c>
      <c r="E8" s="30">
        <f>IF(B8="","",INDEX('项目清单'!$Q$5:$Q$14,MATCH(A8,'项目清单'!$AB$5:$AB$14,0)))</f>
        <v/>
      </c>
      <c r="F8" s="153">
        <f>IF(B8="","",INDEX('项目清单'!$Z$5:$Z$14,MATCH(A8,'项目清单'!$AB$5:$AB$14,0)))</f>
        <v/>
      </c>
      <c r="G8" s="30">
        <f>IF(B8="","",INDEX('项目清单'!$AC$5:$AC$14,MATCH(A8,'项目清单'!$AB$5:$AB$14,0)))</f>
        <v/>
      </c>
      <c r="H8" s="30">
        <f>IF(B8="","",INDEX('项目清单'!$AD$5:$AD$14,MATCH(A8,'项目清单'!$AB$5:$AB$14,0)))</f>
        <v/>
      </c>
    </row>
    <row r="9" ht="34" customHeight="1">
      <c r="A9" s="31" t="n">
        <v>2</v>
      </c>
      <c r="B9" s="31">
        <f>IFERROR(INDEX('项目清单'!$B$5:$B$14,MATCH(A9,'项目清单'!$AB$5:$AB$14,0)),"")</f>
        <v/>
      </c>
      <c r="C9" s="181">
        <f>IF(B9="","",INDEX('项目清单'!$X$5:$X$14,MATCH(A9,'项目清单'!$AB$5:$AB$14,0)))</f>
        <v/>
      </c>
      <c r="D9" s="155">
        <f>IF(B9="","",INDEX('项目清单'!$Y$5:$Y$14,MATCH(A9,'项目清单'!$AB$5:$AB$14,0)))</f>
        <v/>
      </c>
      <c r="E9" s="31">
        <f>IF(B9="","",INDEX('项目清单'!$Q$5:$Q$14,MATCH(A9,'项目清单'!$AB$5:$AB$14,0)))</f>
        <v/>
      </c>
      <c r="F9" s="155">
        <f>IF(B9="","",INDEX('项目清单'!$Z$5:$Z$14,MATCH(A9,'项目清单'!$AB$5:$AB$14,0)))</f>
        <v/>
      </c>
      <c r="G9" s="31">
        <f>IF(B9="","",INDEX('项目清单'!$AC$5:$AC$14,MATCH(A9,'项目清单'!$AB$5:$AB$14,0)))</f>
        <v/>
      </c>
      <c r="H9" s="31">
        <f>IF(B9="","",INDEX('项目清单'!$AD$5:$AD$14,MATCH(A9,'项目清单'!$AB$5:$AB$14,0)))</f>
        <v/>
      </c>
    </row>
    <row r="10" ht="34" customHeight="1">
      <c r="A10" s="31" t="n">
        <v>3</v>
      </c>
      <c r="B10" s="31">
        <f>IFERROR(INDEX('项目清单'!$B$5:$B$14,MATCH(A10,'项目清单'!$AB$5:$AB$14,0)),"")</f>
        <v/>
      </c>
      <c r="C10" s="181">
        <f>IF(B10="","",INDEX('项目清单'!$X$5:$X$14,MATCH(A10,'项目清单'!$AB$5:$AB$14,0)))</f>
        <v/>
      </c>
      <c r="D10" s="155">
        <f>IF(B10="","",INDEX('项目清单'!$Y$5:$Y$14,MATCH(A10,'项目清单'!$AB$5:$AB$14,0)))</f>
        <v/>
      </c>
      <c r="E10" s="31">
        <f>IF(B10="","",INDEX('项目清单'!$Q$5:$Q$14,MATCH(A10,'项目清单'!$AB$5:$AB$14,0)))</f>
        <v/>
      </c>
      <c r="F10" s="155">
        <f>IF(B10="","",INDEX('项目清单'!$Z$5:$Z$14,MATCH(A10,'项目清单'!$AB$5:$AB$14,0)))</f>
        <v/>
      </c>
      <c r="G10" s="31">
        <f>IF(B10="","",INDEX('项目清单'!$AC$5:$AC$14,MATCH(A10,'项目清单'!$AB$5:$AB$14,0)))</f>
        <v/>
      </c>
      <c r="H10" s="31">
        <f>IF(B10="","",INDEX('项目清单'!$AD$5:$AD$14,MATCH(A10,'项目清单'!$AB$5:$AB$14,0)))</f>
        <v/>
      </c>
    </row>
    <row r="11" ht="34" customHeight="1">
      <c r="A11" s="31" t="n">
        <v>4</v>
      </c>
      <c r="B11" s="31">
        <f>IFERROR(INDEX('项目清单'!$B$5:$B$14,MATCH(A11,'项目清单'!$AB$5:$AB$14,0)),"")</f>
        <v/>
      </c>
      <c r="C11" s="181">
        <f>IF(B11="","",INDEX('项目清单'!$X$5:$X$14,MATCH(A11,'项目清单'!$AB$5:$AB$14,0)))</f>
        <v/>
      </c>
      <c r="D11" s="155">
        <f>IF(B11="","",INDEX('项目清单'!$Y$5:$Y$14,MATCH(A11,'项目清单'!$AB$5:$AB$14,0)))</f>
        <v/>
      </c>
      <c r="E11" s="31">
        <f>IF(B11="","",INDEX('项目清单'!$Q$5:$Q$14,MATCH(A11,'项目清单'!$AB$5:$AB$14,0)))</f>
        <v/>
      </c>
      <c r="F11" s="155">
        <f>IF(B11="","",INDEX('项目清单'!$Z$5:$Z$14,MATCH(A11,'项目清单'!$AB$5:$AB$14,0)))</f>
        <v/>
      </c>
      <c r="G11" s="31">
        <f>IF(B11="","",INDEX('项目清单'!$AC$5:$AC$14,MATCH(A11,'项目清单'!$AB$5:$AB$14,0)))</f>
        <v/>
      </c>
      <c r="H11" s="31">
        <f>IF(B11="","",INDEX('项目清单'!$AD$5:$AD$14,MATCH(A11,'项目清单'!$AB$5:$AB$14,0)))</f>
        <v/>
      </c>
    </row>
    <row r="12" ht="34" customHeight="1">
      <c r="A12" s="31" t="n">
        <v>5</v>
      </c>
      <c r="B12" s="31">
        <f>IFERROR(INDEX('项目清单'!$B$5:$B$14,MATCH(A12,'项目清单'!$AB$5:$AB$14,0)),"")</f>
        <v/>
      </c>
      <c r="C12" s="181">
        <f>IF(B12="","",INDEX('项目清单'!$X$5:$X$14,MATCH(A12,'项目清单'!$AB$5:$AB$14,0)))</f>
        <v/>
      </c>
      <c r="D12" s="155">
        <f>IF(B12="","",INDEX('项目清单'!$Y$5:$Y$14,MATCH(A12,'项目清单'!$AB$5:$AB$14,0)))</f>
        <v/>
      </c>
      <c r="E12" s="31">
        <f>IF(B12="","",INDEX('项目清单'!$Q$5:$Q$14,MATCH(A12,'项目清单'!$AB$5:$AB$14,0)))</f>
        <v/>
      </c>
      <c r="F12" s="155">
        <f>IF(B12="","",INDEX('项目清单'!$Z$5:$Z$14,MATCH(A12,'项目清单'!$AB$5:$AB$14,0)))</f>
        <v/>
      </c>
      <c r="G12" s="31">
        <f>IF(B12="","",INDEX('项目清单'!$AC$5:$AC$14,MATCH(A12,'项目清单'!$AB$5:$AB$14,0)))</f>
        <v/>
      </c>
      <c r="H12" s="31">
        <f>IF(B12="","",INDEX('项目清单'!$AD$5:$AD$14,MATCH(A12,'项目清单'!$AB$5:$AB$14,0)))</f>
        <v/>
      </c>
    </row>
    <row r="13" ht="34" customHeight="1">
      <c r="A13" s="31" t="n">
        <v>6</v>
      </c>
      <c r="B13" s="31">
        <f>IFERROR(INDEX('项目清单'!$B$5:$B$14,MATCH(A13,'项目清单'!$AB$5:$AB$14,0)),"")</f>
        <v/>
      </c>
      <c r="C13" s="181">
        <f>IF(B13="","",INDEX('项目清单'!$X$5:$X$14,MATCH(A13,'项目清单'!$AB$5:$AB$14,0)))</f>
        <v/>
      </c>
      <c r="D13" s="155">
        <f>IF(B13="","",INDEX('项目清单'!$Y$5:$Y$14,MATCH(A13,'项目清单'!$AB$5:$AB$14,0)))</f>
        <v/>
      </c>
      <c r="E13" s="31">
        <f>IF(B13="","",INDEX('项目清单'!$Q$5:$Q$14,MATCH(A13,'项目清单'!$AB$5:$AB$14,0)))</f>
        <v/>
      </c>
      <c r="F13" s="155">
        <f>IF(B13="","",INDEX('项目清单'!$Z$5:$Z$14,MATCH(A13,'项目清单'!$AB$5:$AB$14,0)))</f>
        <v/>
      </c>
      <c r="G13" s="31">
        <f>IF(B13="","",INDEX('项目清单'!$AC$5:$AC$14,MATCH(A13,'项目清单'!$AB$5:$AB$14,0)))</f>
        <v/>
      </c>
      <c r="H13" s="31">
        <f>IF(B13="","",INDEX('项目清单'!$AD$5:$AD$14,MATCH(A13,'项目清单'!$AB$5:$AB$14,0)))</f>
        <v/>
      </c>
    </row>
    <row r="14" ht="34" customHeight="1">
      <c r="A14" s="31" t="n">
        <v>7</v>
      </c>
      <c r="B14" s="31">
        <f>IFERROR(INDEX('项目清单'!$B$5:$B$14,MATCH(A14,'项目清单'!$AB$5:$AB$14,0)),"")</f>
        <v/>
      </c>
      <c r="C14" s="181">
        <f>IF(B14="","",INDEX('项目清单'!$X$5:$X$14,MATCH(A14,'项目清单'!$AB$5:$AB$14,0)))</f>
        <v/>
      </c>
      <c r="D14" s="155">
        <f>IF(B14="","",INDEX('项目清单'!$Y$5:$Y$14,MATCH(A14,'项目清单'!$AB$5:$AB$14,0)))</f>
        <v/>
      </c>
      <c r="E14" s="31">
        <f>IF(B14="","",INDEX('项目清单'!$Q$5:$Q$14,MATCH(A14,'项目清单'!$AB$5:$AB$14,0)))</f>
        <v/>
      </c>
      <c r="F14" s="155">
        <f>IF(B14="","",INDEX('项目清单'!$Z$5:$Z$14,MATCH(A14,'项目清单'!$AB$5:$AB$14,0)))</f>
        <v/>
      </c>
      <c r="G14" s="31">
        <f>IF(B14="","",INDEX('项目清单'!$AC$5:$AC$14,MATCH(A14,'项目清单'!$AB$5:$AB$14,0)))</f>
        <v/>
      </c>
      <c r="H14" s="31">
        <f>IF(B14="","",INDEX('项目清单'!$AD$5:$AD$14,MATCH(A14,'项目清单'!$AB$5:$AB$14,0)))</f>
        <v/>
      </c>
    </row>
    <row r="15" ht="34" customHeight="1">
      <c r="A15" s="31" t="n">
        <v>8</v>
      </c>
      <c r="B15" s="31">
        <f>IFERROR(INDEX('项目清单'!$B$5:$B$14,MATCH(A15,'项目清单'!$AB$5:$AB$14,0)),"")</f>
        <v/>
      </c>
      <c r="C15" s="181">
        <f>IF(B15="","",INDEX('项目清单'!$X$5:$X$14,MATCH(A15,'项目清单'!$AB$5:$AB$14,0)))</f>
        <v/>
      </c>
      <c r="D15" s="155">
        <f>IF(B15="","",INDEX('项目清单'!$Y$5:$Y$14,MATCH(A15,'项目清单'!$AB$5:$AB$14,0)))</f>
        <v/>
      </c>
      <c r="E15" s="31">
        <f>IF(B15="","",INDEX('项目清单'!$Q$5:$Q$14,MATCH(A15,'项目清单'!$AB$5:$AB$14,0)))</f>
        <v/>
      </c>
      <c r="F15" s="155">
        <f>IF(B15="","",INDEX('项目清单'!$Z$5:$Z$14,MATCH(A15,'项目清单'!$AB$5:$AB$14,0)))</f>
        <v/>
      </c>
      <c r="G15" s="31">
        <f>IF(B15="","",INDEX('项目清单'!$AC$5:$AC$14,MATCH(A15,'项目清单'!$AB$5:$AB$14,0)))</f>
        <v/>
      </c>
      <c r="H15" s="31">
        <f>IF(B15="","",INDEX('项目清单'!$AD$5:$AD$14,MATCH(A15,'项目清单'!$AB$5:$AB$14,0)))</f>
        <v/>
      </c>
    </row>
    <row r="16" ht="34" customHeight="1">
      <c r="A16" s="31" t="n">
        <v>9</v>
      </c>
      <c r="B16" s="31">
        <f>IFERROR(INDEX('项目清单'!$B$5:$B$14,MATCH(A16,'项目清单'!$AB$5:$AB$14,0)),"")</f>
        <v/>
      </c>
      <c r="C16" s="181">
        <f>IF(B16="","",INDEX('项目清单'!$X$5:$X$14,MATCH(A16,'项目清单'!$AB$5:$AB$14,0)))</f>
        <v/>
      </c>
      <c r="D16" s="155">
        <f>IF(B16="","",INDEX('项目清单'!$Y$5:$Y$14,MATCH(A16,'项目清单'!$AB$5:$AB$14,0)))</f>
        <v/>
      </c>
      <c r="E16" s="31">
        <f>IF(B16="","",INDEX('项目清单'!$Q$5:$Q$14,MATCH(A16,'项目清单'!$AB$5:$AB$14,0)))</f>
        <v/>
      </c>
      <c r="F16" s="155">
        <f>IF(B16="","",INDEX('项目清单'!$Z$5:$Z$14,MATCH(A16,'项目清单'!$AB$5:$AB$14,0)))</f>
        <v/>
      </c>
      <c r="G16" s="31">
        <f>IF(B16="","",INDEX('项目清单'!$AC$5:$AC$14,MATCH(A16,'项目清单'!$AB$5:$AB$14,0)))</f>
        <v/>
      </c>
      <c r="H16" s="31">
        <f>IF(B16="","",INDEX('项目清单'!$AD$5:$AD$14,MATCH(A16,'项目清单'!$AB$5:$AB$14,0)))</f>
        <v/>
      </c>
    </row>
    <row r="17" ht="34" customHeight="1">
      <c r="A17" s="32" t="n">
        <v>10</v>
      </c>
      <c r="B17" s="32">
        <f>IFERROR(INDEX('项目清单'!$B$5:$B$14,MATCH(A17,'项目清单'!$AB$5:$AB$14,0)),"")</f>
        <v/>
      </c>
      <c r="C17" s="182">
        <f>IF(B17="","",INDEX('项目清单'!$X$5:$X$14,MATCH(A17,'项目清单'!$AB$5:$AB$14,0)))</f>
        <v/>
      </c>
      <c r="D17" s="156">
        <f>IF(B17="","",INDEX('项目清单'!$Y$5:$Y$14,MATCH(A17,'项目清单'!$AB$5:$AB$14,0)))</f>
        <v/>
      </c>
      <c r="E17" s="32">
        <f>IF(B17="","",INDEX('项目清单'!$Q$5:$Q$14,MATCH(A17,'项目清单'!$AB$5:$AB$14,0)))</f>
        <v/>
      </c>
      <c r="F17" s="156">
        <f>IF(B17="","",INDEX('项目清单'!$Z$5:$Z$14,MATCH(A17,'项目清单'!$AB$5:$AB$14,0)))</f>
        <v/>
      </c>
      <c r="G17" s="32">
        <f>IF(B17="","",INDEX('项目清单'!$AC$5:$AC$14,MATCH(A17,'项目清单'!$AB$5:$AB$14,0)))</f>
        <v/>
      </c>
      <c r="H17" s="32">
        <f>IF(B17="","",INDEX('项目清单'!$AD$5:$AD$14,MATCH(A17,'项目清单'!$AB$5:$AB$14,0)))</f>
        <v/>
      </c>
    </row>
    <row r="20" ht="32" customHeight="1">
      <c r="A20" s="23" t="inlineStr">
        <is>
          <t>项目</t>
        </is>
      </c>
      <c r="B20" s="24" t="inlineStr">
        <is>
          <t>产品商业</t>
        </is>
      </c>
      <c r="C20" s="24" t="inlineStr">
        <is>
          <t>场景实用</t>
        </is>
      </c>
      <c r="D20" s="24" t="inlineStr">
        <is>
          <t>Spark竞赛</t>
        </is>
      </c>
      <c r="E20" s="24" t="inlineStr">
        <is>
          <t>演示闭环</t>
        </is>
      </c>
      <c r="F20" s="24" t="inlineStr">
        <is>
          <t>数据评估</t>
        </is>
      </c>
      <c r="G20" s="25" t="inlineStr">
        <is>
          <t>交付风险</t>
        </is>
      </c>
    </row>
    <row r="21" ht="28" customHeight="1">
      <c r="A21" s="30">
        <f>IFERROR(INDEX('项目清单'!$B$5:$B$14,MATCH(1,'项目清单'!$AB$5:$AB$14,0)),"")</f>
        <v/>
      </c>
      <c r="B21" s="180">
        <f>IF($A21="","",INDEX('项目清单'!$R$5:$R$14,MATCH(1,'项目清单'!$AB$5:$AB$14,0)))</f>
        <v/>
      </c>
      <c r="C21" s="180">
        <f>IF($A21="","",INDEX('项目清单'!$S$5:$S$14,MATCH(1,'项目清单'!$AB$5:$AB$14,0)))</f>
        <v/>
      </c>
      <c r="D21" s="180">
        <f>IF($A21="","",INDEX('项目清单'!$T$5:$T$14,MATCH(1,'项目清单'!$AB$5:$AB$14,0)))</f>
        <v/>
      </c>
      <c r="E21" s="180">
        <f>IF($A21="","",INDEX('项目清单'!$U$5:$U$14,MATCH(1,'项目清单'!$AB$5:$AB$14,0)))</f>
        <v/>
      </c>
      <c r="F21" s="180">
        <f>IF($A21="","",INDEX('项目清单'!$V$5:$V$14,MATCH(1,'项目清单'!$AB$5:$AB$14,0)))</f>
        <v/>
      </c>
      <c r="G21" s="180">
        <f>IF($A21="","",INDEX('项目清单'!$W$5:$W$14,MATCH(1,'项目清单'!$AB$5:$AB$14,0)))</f>
        <v/>
      </c>
    </row>
    <row r="22" ht="28" customHeight="1">
      <c r="A22" s="31">
        <f>IFERROR(INDEX('项目清单'!$B$5:$B$14,MATCH(2,'项目清单'!$AB$5:$AB$14,0)),"")</f>
        <v/>
      </c>
      <c r="B22" s="181">
        <f>IF($A22="","",INDEX('项目清单'!$R$5:$R$14,MATCH(2,'项目清单'!$AB$5:$AB$14,0)))</f>
        <v/>
      </c>
      <c r="C22" s="181">
        <f>IF($A22="","",INDEX('项目清单'!$S$5:$S$14,MATCH(2,'项目清单'!$AB$5:$AB$14,0)))</f>
        <v/>
      </c>
      <c r="D22" s="181">
        <f>IF($A22="","",INDEX('项目清单'!$T$5:$T$14,MATCH(2,'项目清单'!$AB$5:$AB$14,0)))</f>
        <v/>
      </c>
      <c r="E22" s="181">
        <f>IF($A22="","",INDEX('项目清单'!$U$5:$U$14,MATCH(2,'项目清单'!$AB$5:$AB$14,0)))</f>
        <v/>
      </c>
      <c r="F22" s="181">
        <f>IF($A22="","",INDEX('项目清单'!$V$5:$V$14,MATCH(2,'项目清单'!$AB$5:$AB$14,0)))</f>
        <v/>
      </c>
      <c r="G22" s="181">
        <f>IF($A22="","",INDEX('项目清单'!$W$5:$W$14,MATCH(2,'项目清单'!$AB$5:$AB$14,0)))</f>
        <v/>
      </c>
    </row>
    <row r="23" ht="28" customHeight="1">
      <c r="A23" s="31">
        <f>IFERROR(INDEX('项目清单'!$B$5:$B$14,MATCH(3,'项目清单'!$AB$5:$AB$14,0)),"")</f>
        <v/>
      </c>
      <c r="B23" s="181">
        <f>IF($A23="","",INDEX('项目清单'!$R$5:$R$14,MATCH(3,'项目清单'!$AB$5:$AB$14,0)))</f>
        <v/>
      </c>
      <c r="C23" s="181">
        <f>IF($A23="","",INDEX('项目清单'!$S$5:$S$14,MATCH(3,'项目清单'!$AB$5:$AB$14,0)))</f>
        <v/>
      </c>
      <c r="D23" s="181">
        <f>IF($A23="","",INDEX('项目清单'!$T$5:$T$14,MATCH(3,'项目清单'!$AB$5:$AB$14,0)))</f>
        <v/>
      </c>
      <c r="E23" s="181">
        <f>IF($A23="","",INDEX('项目清单'!$U$5:$U$14,MATCH(3,'项目清单'!$AB$5:$AB$14,0)))</f>
        <v/>
      </c>
      <c r="F23" s="181">
        <f>IF($A23="","",INDEX('项目清单'!$V$5:$V$14,MATCH(3,'项目清单'!$AB$5:$AB$14,0)))</f>
        <v/>
      </c>
      <c r="G23" s="181">
        <f>IF($A23="","",INDEX('项目清单'!$W$5:$W$14,MATCH(3,'项目清单'!$AB$5:$AB$14,0)))</f>
        <v/>
      </c>
    </row>
    <row r="24" ht="28" customHeight="1">
      <c r="A24" s="31">
        <f>IFERROR(INDEX('项目清单'!$B$5:$B$14,MATCH(4,'项目清单'!$AB$5:$AB$14,0)),"")</f>
        <v/>
      </c>
      <c r="B24" s="181">
        <f>IF($A24="","",INDEX('项目清单'!$R$5:$R$14,MATCH(4,'项目清单'!$AB$5:$AB$14,0)))</f>
        <v/>
      </c>
      <c r="C24" s="181">
        <f>IF($A24="","",INDEX('项目清单'!$S$5:$S$14,MATCH(4,'项目清单'!$AB$5:$AB$14,0)))</f>
        <v/>
      </c>
      <c r="D24" s="181">
        <f>IF($A24="","",INDEX('项目清单'!$T$5:$T$14,MATCH(4,'项目清单'!$AB$5:$AB$14,0)))</f>
        <v/>
      </c>
      <c r="E24" s="181">
        <f>IF($A24="","",INDEX('项目清单'!$U$5:$U$14,MATCH(4,'项目清单'!$AB$5:$AB$14,0)))</f>
        <v/>
      </c>
      <c r="F24" s="181">
        <f>IF($A24="","",INDEX('项目清单'!$V$5:$V$14,MATCH(4,'项目清单'!$AB$5:$AB$14,0)))</f>
        <v/>
      </c>
      <c r="G24" s="181">
        <f>IF($A24="","",INDEX('项目清单'!$W$5:$W$14,MATCH(4,'项目清单'!$AB$5:$AB$14,0)))</f>
        <v/>
      </c>
    </row>
    <row r="25" ht="28" customHeight="1">
      <c r="A25" s="31">
        <f>IFERROR(INDEX('项目清单'!$B$5:$B$14,MATCH(5,'项目清单'!$AB$5:$AB$14,0)),"")</f>
        <v/>
      </c>
      <c r="B25" s="181">
        <f>IF($A25="","",INDEX('项目清单'!$R$5:$R$14,MATCH(5,'项目清单'!$AB$5:$AB$14,0)))</f>
        <v/>
      </c>
      <c r="C25" s="181">
        <f>IF($A25="","",INDEX('项目清单'!$S$5:$S$14,MATCH(5,'项目清单'!$AB$5:$AB$14,0)))</f>
        <v/>
      </c>
      <c r="D25" s="181">
        <f>IF($A25="","",INDEX('项目清单'!$T$5:$T$14,MATCH(5,'项目清单'!$AB$5:$AB$14,0)))</f>
        <v/>
      </c>
      <c r="E25" s="181">
        <f>IF($A25="","",INDEX('项目清单'!$U$5:$U$14,MATCH(5,'项目清单'!$AB$5:$AB$14,0)))</f>
        <v/>
      </c>
      <c r="F25" s="181">
        <f>IF($A25="","",INDEX('项目清单'!$V$5:$V$14,MATCH(5,'项目清单'!$AB$5:$AB$14,0)))</f>
        <v/>
      </c>
      <c r="G25" s="181">
        <f>IF($A25="","",INDEX('项目清单'!$W$5:$W$14,MATCH(5,'项目清单'!$AB$5:$AB$14,0)))</f>
        <v/>
      </c>
    </row>
    <row r="26" ht="28" customHeight="1">
      <c r="A26" s="31">
        <f>IFERROR(INDEX('项目清单'!$B$5:$B$14,MATCH(6,'项目清单'!$AB$5:$AB$14,0)),"")</f>
        <v/>
      </c>
      <c r="B26" s="181">
        <f>IF($A26="","",INDEX('项目清单'!$R$5:$R$14,MATCH(6,'项目清单'!$AB$5:$AB$14,0)))</f>
        <v/>
      </c>
      <c r="C26" s="181">
        <f>IF($A26="","",INDEX('项目清单'!$S$5:$S$14,MATCH(6,'项目清单'!$AB$5:$AB$14,0)))</f>
        <v/>
      </c>
      <c r="D26" s="181">
        <f>IF($A26="","",INDEX('项目清单'!$T$5:$T$14,MATCH(6,'项目清单'!$AB$5:$AB$14,0)))</f>
        <v/>
      </c>
      <c r="E26" s="181">
        <f>IF($A26="","",INDEX('项目清单'!$U$5:$U$14,MATCH(6,'项目清单'!$AB$5:$AB$14,0)))</f>
        <v/>
      </c>
      <c r="F26" s="181">
        <f>IF($A26="","",INDEX('项目清单'!$V$5:$V$14,MATCH(6,'项目清单'!$AB$5:$AB$14,0)))</f>
        <v/>
      </c>
      <c r="G26" s="181">
        <f>IF($A26="","",INDEX('项目清单'!$W$5:$W$14,MATCH(6,'项目清单'!$AB$5:$AB$14,0)))</f>
        <v/>
      </c>
    </row>
    <row r="27" ht="28" customHeight="1">
      <c r="A27" s="31">
        <f>IFERROR(INDEX('项目清单'!$B$5:$B$14,MATCH(7,'项目清单'!$AB$5:$AB$14,0)),"")</f>
        <v/>
      </c>
      <c r="B27" s="181">
        <f>IF($A27="","",INDEX('项目清单'!$R$5:$R$14,MATCH(7,'项目清单'!$AB$5:$AB$14,0)))</f>
        <v/>
      </c>
      <c r="C27" s="181">
        <f>IF($A27="","",INDEX('项目清单'!$S$5:$S$14,MATCH(7,'项目清单'!$AB$5:$AB$14,0)))</f>
        <v/>
      </c>
      <c r="D27" s="181">
        <f>IF($A27="","",INDEX('项目清单'!$T$5:$T$14,MATCH(7,'项目清单'!$AB$5:$AB$14,0)))</f>
        <v/>
      </c>
      <c r="E27" s="181">
        <f>IF($A27="","",INDEX('项目清单'!$U$5:$U$14,MATCH(7,'项目清单'!$AB$5:$AB$14,0)))</f>
        <v/>
      </c>
      <c r="F27" s="181">
        <f>IF($A27="","",INDEX('项目清单'!$V$5:$V$14,MATCH(7,'项目清单'!$AB$5:$AB$14,0)))</f>
        <v/>
      </c>
      <c r="G27" s="181">
        <f>IF($A27="","",INDEX('项目清单'!$W$5:$W$14,MATCH(7,'项目清单'!$AB$5:$AB$14,0)))</f>
        <v/>
      </c>
    </row>
    <row r="28" ht="28" customHeight="1">
      <c r="A28" s="31">
        <f>IFERROR(INDEX('项目清单'!$B$5:$B$14,MATCH(8,'项目清单'!$AB$5:$AB$14,0)),"")</f>
        <v/>
      </c>
      <c r="B28" s="181">
        <f>IF($A28="","",INDEX('项目清单'!$R$5:$R$14,MATCH(8,'项目清单'!$AB$5:$AB$14,0)))</f>
        <v/>
      </c>
      <c r="C28" s="181">
        <f>IF($A28="","",INDEX('项目清单'!$S$5:$S$14,MATCH(8,'项目清单'!$AB$5:$AB$14,0)))</f>
        <v/>
      </c>
      <c r="D28" s="181">
        <f>IF($A28="","",INDEX('项目清单'!$T$5:$T$14,MATCH(8,'项目清单'!$AB$5:$AB$14,0)))</f>
        <v/>
      </c>
      <c r="E28" s="181">
        <f>IF($A28="","",INDEX('项目清单'!$U$5:$U$14,MATCH(8,'项目清单'!$AB$5:$AB$14,0)))</f>
        <v/>
      </c>
      <c r="F28" s="181">
        <f>IF($A28="","",INDEX('项目清单'!$V$5:$V$14,MATCH(8,'项目清单'!$AB$5:$AB$14,0)))</f>
        <v/>
      </c>
      <c r="G28" s="181">
        <f>IF($A28="","",INDEX('项目清单'!$W$5:$W$14,MATCH(8,'项目清单'!$AB$5:$AB$14,0)))</f>
        <v/>
      </c>
    </row>
    <row r="29" ht="28" customHeight="1">
      <c r="A29" s="31">
        <f>IFERROR(INDEX('项目清单'!$B$5:$B$14,MATCH(9,'项目清单'!$AB$5:$AB$14,0)),"")</f>
        <v/>
      </c>
      <c r="B29" s="181">
        <f>IF($A29="","",INDEX('项目清单'!$R$5:$R$14,MATCH(9,'项目清单'!$AB$5:$AB$14,0)))</f>
        <v/>
      </c>
      <c r="C29" s="181">
        <f>IF($A29="","",INDEX('项目清单'!$S$5:$S$14,MATCH(9,'项目清单'!$AB$5:$AB$14,0)))</f>
        <v/>
      </c>
      <c r="D29" s="181">
        <f>IF($A29="","",INDEX('项目清单'!$T$5:$T$14,MATCH(9,'项目清单'!$AB$5:$AB$14,0)))</f>
        <v/>
      </c>
      <c r="E29" s="181">
        <f>IF($A29="","",INDEX('项目清单'!$U$5:$U$14,MATCH(9,'项目清单'!$AB$5:$AB$14,0)))</f>
        <v/>
      </c>
      <c r="F29" s="181">
        <f>IF($A29="","",INDEX('项目清单'!$V$5:$V$14,MATCH(9,'项目清单'!$AB$5:$AB$14,0)))</f>
        <v/>
      </c>
      <c r="G29" s="181">
        <f>IF($A29="","",INDEX('项目清单'!$W$5:$W$14,MATCH(9,'项目清单'!$AB$5:$AB$14,0)))</f>
        <v/>
      </c>
    </row>
    <row r="30" ht="28" customHeight="1">
      <c r="A30" s="32">
        <f>IFERROR(INDEX('项目清单'!$B$5:$B$14,MATCH(10,'项目清单'!$AB$5:$AB$14,0)),"")</f>
        <v/>
      </c>
      <c r="B30" s="182">
        <f>IF($A30="","",INDEX('项目清单'!$R$5:$R$14,MATCH(10,'项目清单'!$AB$5:$AB$14,0)))</f>
        <v/>
      </c>
      <c r="C30" s="182">
        <f>IF($A30="","",INDEX('项目清单'!$S$5:$S$14,MATCH(10,'项目清单'!$AB$5:$AB$14,0)))</f>
        <v/>
      </c>
      <c r="D30" s="182">
        <f>IF($A30="","",INDEX('项目清单'!$T$5:$T$14,MATCH(10,'项目清单'!$AB$5:$AB$14,0)))</f>
        <v/>
      </c>
      <c r="E30" s="182">
        <f>IF($A30="","",INDEX('项目清单'!$U$5:$U$14,MATCH(10,'项目清单'!$AB$5:$AB$14,0)))</f>
        <v/>
      </c>
      <c r="F30" s="182">
        <f>IF($A30="","",INDEX('项目清单'!$V$5:$V$14,MATCH(10,'项目清单'!$AB$5:$AB$14,0)))</f>
        <v/>
      </c>
      <c r="G30" s="182">
        <f>IF($A30="","",INDEX('项目清单'!$W$5:$W$14,MATCH(10,'项目清单'!$AB$5:$AB$14,0)))</f>
        <v/>
      </c>
    </row>
    <row r="32">
      <c r="A32" s="146" t="inlineStr">
        <is>
          <t>判读顺序：先看门槛 → 再看共识总分 → 再看证据 → 最后确认评分完整度。高分、低证据的项目不是冠军，而是最值得优先验证的假设；无法共识的地方写入保留意见。</t>
        </is>
      </c>
      <c r="B32" s="147" t="n"/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147" t="n"/>
      <c r="L32" s="147" t="n"/>
      <c r="M32" s="147" t="n"/>
      <c r="N32" s="147" t="n"/>
      <c r="O32" s="148" t="n"/>
    </row>
    <row r="33">
      <c r="A33" s="149" t="n"/>
      <c r="B33" s="150" t="n"/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1" t="n"/>
    </row>
  </sheetData>
  <mergeCells count="11">
    <mergeCell ref="A5:C5"/>
    <mergeCell ref="E5:G5"/>
    <mergeCell ref="I5:K5"/>
    <mergeCell ref="M4:O4"/>
    <mergeCell ref="M5:O5"/>
    <mergeCell ref="A2:Q2"/>
    <mergeCell ref="E4:G4"/>
    <mergeCell ref="I4:K4"/>
    <mergeCell ref="A32:O33"/>
    <mergeCell ref="A4:C4"/>
    <mergeCell ref="A1:Q1"/>
  </mergeCells>
  <conditionalFormatting sqref="C8:C17">
    <cfRule type="dataBar" priority="1">
      <dataBar>
        <cfvo type="min"/>
        <cfvo type="max"/>
        <color rgb="FF1D4ED8"/>
      </dataBar>
    </cfRule>
  </conditionalFormatting>
  <conditionalFormatting sqref="D8:D17">
    <cfRule type="dataBar" priority="2">
      <dataBar>
        <cfvo type="min"/>
        <cfvo type="max"/>
        <color rgb="FF0F766E"/>
      </dataBar>
    </cfRule>
  </conditionalFormatting>
  <conditionalFormatting sqref="B21:G30">
    <cfRule type="colorScale" priority="3">
      <colorScale>
        <cfvo type="min"/>
        <cfvo type="percentile" val="50"/>
        <cfvo type="max"/>
        <color rgb="FFFDECEC"/>
        <color rgb="FFFFF7E6"/>
        <color rgb="FFEAF7ED"/>
      </colorScale>
    </cfRule>
  </conditionalFormatting>
  <conditionalFormatting sqref="E8:E17">
    <cfRule type="containsText" priority="4" operator="containsText" dxfId="0" text="通过"/>
    <cfRule type="containsText" priority="5" operator="containsText" dxfId="1" text="待验证"/>
    <cfRule type="containsText" priority="6" operator="containsText" dxfId="2" text="淘汰"/>
  </conditionalFormatting>
  <conditionalFormatting sqref="G8:G17">
    <cfRule type="containsText" priority="7" operator="containsText" dxfId="0" text="优先"/>
    <cfRule type="containsText" priority="8" operator="containsText" dxfId="1" text="验证"/>
    <cfRule type="containsText" priority="9" operator="containsText" dxfId="2" text="放弃"/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2026-07-13T19:01:14Z</dcterms:created>
  <dcterms:modified xsi:type="dcterms:W3CDTF">2026-07-13T19:01:14Z</dcterms:modified>
</cp:coreProperties>
</file>