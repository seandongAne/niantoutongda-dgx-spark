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用说明" sheetId="1" state="visible" r:id="rId3"/>
    <sheet name="参数与锚点" sheetId="2" state="visible" r:id="rId4"/>
    <sheet name="项目清单" sheetId="3" state="visible" r:id="rId5"/>
    <sheet name="会议评分" sheetId="4" state="visible" r:id="rId6"/>
    <sheet name="证据索引" sheetId="5" state="visible" r:id="rId7"/>
    <sheet name="决策面板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<sst xmlns="http://schemas.openxmlformats.org/spreadsheetml/2006/main" count="1023" uniqueCount="320">
  <si>
    <r>
      <rPr>
        <b val="true"/>
        <sz val="20"/>
        <color rgb="FFFFFFFF"/>
        <rFont val="Aptos Display"/>
        <family val="0"/>
        <charset val="1"/>
      </rPr>
      <t xml:space="preserve">DGX Spark </t>
    </r>
    <r>
      <rPr>
        <b val="true"/>
        <sz val="20"/>
        <color rgb="FFFFFFFF"/>
        <rFont val="PingFang SC"/>
        <family val="2"/>
      </rPr>
      <t xml:space="preserve">黑客松｜选题评分系统 </t>
    </r>
    <r>
      <rPr>
        <b val="true"/>
        <sz val="20"/>
        <color rgb="FFFFFFFF"/>
        <rFont val="Aptos Display"/>
        <family val="0"/>
        <charset val="1"/>
      </rPr>
      <t xml:space="preserve">v0.3</t>
    </r>
  </si>
  <si>
    <r>
      <rPr>
        <sz val="10"/>
        <color rgb="FF243B53"/>
        <rFont val="PingFang SC"/>
        <family val="2"/>
      </rPr>
      <t xml:space="preserve">目标：在一次团队会议中形成可追溯的选题共识。先过硬门槛，再形成一组</t>
    </r>
    <r>
      <rPr>
        <sz val="10"/>
        <color rgb="FF243B53"/>
        <rFont val="Aptos"/>
        <family val="0"/>
        <charset val="1"/>
      </rPr>
      <t xml:space="preserve">100</t>
    </r>
    <r>
      <rPr>
        <sz val="10"/>
        <color rgb="FF243B53"/>
        <rFont val="PingFang SC"/>
        <family val="2"/>
      </rPr>
      <t xml:space="preserve">分共识分，最后用证据强度与评分完整度约束结论。</t>
    </r>
  </si>
  <si>
    <t xml:space="preserve">一、三层决策结构</t>
  </si>
  <si>
    <t xml:space="preserve">层级</t>
  </si>
  <si>
    <t xml:space="preserve">用途</t>
  </si>
  <si>
    <t xml:space="preserve">输出</t>
  </si>
  <si>
    <t xml:space="preserve">规则</t>
  </si>
  <si>
    <r>
      <rPr>
        <sz val="9"/>
        <color rgb="FF243B53"/>
        <rFont val="Aptos"/>
        <family val="0"/>
        <charset val="1"/>
      </rPr>
      <t xml:space="preserve">1</t>
    </r>
    <r>
      <rPr>
        <sz val="9"/>
        <color rgb="FF243B53"/>
        <rFont val="PingFang SC"/>
        <family val="2"/>
      </rPr>
      <t xml:space="preserve">｜硬门槛</t>
    </r>
  </si>
  <si>
    <t xml:space="preserve">排除没有数据、无法验证、无法交付或风险不可接受的想法</t>
  </si>
  <si>
    <r>
      <rPr>
        <sz val="9"/>
        <color rgb="FF243B53"/>
        <rFont val="PingFang SC"/>
        <family val="2"/>
      </rPr>
      <t xml:space="preserve">通过 </t>
    </r>
    <r>
      <rPr>
        <sz val="9"/>
        <color rgb="FF243B53"/>
        <rFont val="Aptos"/>
        <family val="0"/>
        <charset val="1"/>
      </rPr>
      <t xml:space="preserve">/ </t>
    </r>
    <r>
      <rPr>
        <sz val="9"/>
        <color rgb="FF243B53"/>
        <rFont val="PingFang SC"/>
        <family val="2"/>
      </rPr>
      <t xml:space="preserve">待验证 </t>
    </r>
    <r>
      <rPr>
        <sz val="9"/>
        <color rgb="FF243B53"/>
        <rFont val="Aptos"/>
        <family val="0"/>
        <charset val="1"/>
      </rPr>
      <t xml:space="preserve">/ </t>
    </r>
    <r>
      <rPr>
        <sz val="9"/>
        <color rgb="FF243B53"/>
        <rFont val="PingFang SC"/>
        <family val="2"/>
      </rPr>
      <t xml:space="preserve">淘汰</t>
    </r>
  </si>
  <si>
    <t xml:space="preserve">任一“失败”即淘汰；任一“待验证”不得直接入选</t>
  </si>
  <si>
    <r>
      <rPr>
        <sz val="9"/>
        <color rgb="FF243B53"/>
        <rFont val="Aptos"/>
        <family val="0"/>
        <charset val="1"/>
      </rPr>
      <t xml:space="preserve">2</t>
    </r>
    <r>
      <rPr>
        <sz val="9"/>
        <color rgb="FF243B53"/>
        <rFont val="PingFang SC"/>
        <family val="2"/>
      </rPr>
      <t xml:space="preserve">｜会议共识评分</t>
    </r>
  </si>
  <si>
    <r>
      <rPr>
        <sz val="9"/>
        <color rgb="FF243B53"/>
        <rFont val="PingFang SC"/>
        <family val="2"/>
      </rPr>
      <t xml:space="preserve">比较产品价值、场景深度、</t>
    </r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适配、演示、数据评估与交付</t>
    </r>
  </si>
  <si>
    <r>
      <rPr>
        <sz val="9"/>
        <color rgb="FF243B53"/>
        <rFont val="Aptos"/>
        <family val="0"/>
        <charset val="1"/>
      </rPr>
      <t xml:space="preserve">0–100</t>
    </r>
    <r>
      <rPr>
        <sz val="9"/>
        <color rgb="FF243B53"/>
        <rFont val="PingFang SC"/>
        <family val="2"/>
      </rPr>
      <t xml:space="preserve">分</t>
    </r>
  </si>
  <si>
    <r>
      <rPr>
        <sz val="9"/>
        <color rgb="FF243B53"/>
        <rFont val="PingFang SC"/>
        <family val="2"/>
      </rPr>
      <t xml:space="preserve">团队逐项讨论并记录一个</t>
    </r>
    <r>
      <rPr>
        <sz val="9"/>
        <color rgb="FF243B53"/>
        <rFont val="Aptos"/>
        <family val="0"/>
        <charset val="1"/>
      </rPr>
      <t xml:space="preserve">0–5</t>
    </r>
    <r>
      <rPr>
        <sz val="9"/>
        <color rgb="FF243B53"/>
        <rFont val="PingFang SC"/>
        <family val="2"/>
      </rPr>
      <t xml:space="preserve">共识分；按公开权重换算</t>
    </r>
  </si>
  <si>
    <r>
      <rPr>
        <sz val="9"/>
        <color rgb="FF243B53"/>
        <rFont val="Aptos"/>
        <family val="0"/>
        <charset val="1"/>
      </rPr>
      <t xml:space="preserve">3</t>
    </r>
    <r>
      <rPr>
        <sz val="9"/>
        <color rgb="FF243B53"/>
        <rFont val="PingFang SC"/>
        <family val="2"/>
      </rPr>
      <t xml:space="preserve">｜证据与完整度</t>
    </r>
  </si>
  <si>
    <t xml:space="preserve">防止高分建立在未说清的假设上</t>
  </si>
  <si>
    <r>
      <rPr>
        <sz val="9"/>
        <color rgb="FF243B53"/>
        <rFont val="PingFang SC"/>
        <family val="2"/>
      </rPr>
      <t xml:space="preserve">证据强度 </t>
    </r>
    <r>
      <rPr>
        <sz val="9"/>
        <color rgb="FF243B53"/>
        <rFont val="Aptos"/>
        <family val="0"/>
        <charset val="1"/>
      </rPr>
      <t xml:space="preserve">+ </t>
    </r>
    <r>
      <rPr>
        <sz val="9"/>
        <color rgb="FF243B53"/>
        <rFont val="PingFang SC"/>
        <family val="2"/>
      </rPr>
      <t xml:space="preserve">评分完整度</t>
    </r>
  </si>
  <si>
    <r>
      <rPr>
        <sz val="9"/>
        <color rgb="FF243B53"/>
        <rFont val="Aptos"/>
        <family val="0"/>
        <charset val="1"/>
      </rPr>
      <t xml:space="preserve">4–5</t>
    </r>
    <r>
      <rPr>
        <sz val="9"/>
        <color rgb="FF243B53"/>
        <rFont val="PingFang SC"/>
        <family val="2"/>
      </rPr>
      <t xml:space="preserve">分必须有证据（无证据自动封顶</t>
    </r>
    <r>
      <rPr>
        <sz val="9"/>
        <color rgb="FF243B53"/>
        <rFont val="Aptos"/>
        <family val="0"/>
        <charset val="1"/>
      </rPr>
      <t xml:space="preserve">3</t>
    </r>
    <r>
      <rPr>
        <sz val="9"/>
        <color rgb="FF243B53"/>
        <rFont val="PingFang SC"/>
        <family val="2"/>
      </rPr>
      <t xml:space="preserve">分）；</t>
    </r>
    <r>
      <rPr>
        <sz val="9"/>
        <color rgb="FF243B53"/>
        <rFont val="Aptos"/>
        <family val="0"/>
        <charset val="1"/>
      </rPr>
      <t xml:space="preserve">12</t>
    </r>
    <r>
      <rPr>
        <sz val="9"/>
        <color rgb="FF243B53"/>
        <rFont val="PingFang SC"/>
        <family val="2"/>
      </rPr>
      <t xml:space="preserve">项未评完不得形成最终结论</t>
    </r>
  </si>
  <si>
    <r>
      <rPr>
        <b val="true"/>
        <sz val="11"/>
        <color rgb="FFFFFFFF"/>
        <rFont val="PingFang SC"/>
        <family val="2"/>
      </rPr>
      <t xml:space="preserve">二、推荐评审流程（约</t>
    </r>
    <r>
      <rPr>
        <b val="true"/>
        <sz val="11"/>
        <color rgb="FFFFFFFF"/>
        <rFont val="Aptos"/>
        <family val="0"/>
        <charset val="1"/>
      </rPr>
      <t xml:space="preserve">45–60</t>
    </r>
    <r>
      <rPr>
        <b val="true"/>
        <sz val="11"/>
        <color rgb="FFFFFFFF"/>
        <rFont val="PingFang SC"/>
        <family val="2"/>
      </rPr>
      <t xml:space="preserve">分钟）</t>
    </r>
  </si>
  <si>
    <r>
      <rPr>
        <sz val="10"/>
        <color rgb="FF243B53"/>
        <rFont val="PingFang SC"/>
        <family val="2"/>
      </rPr>
      <t xml:space="preserve">项目所有者用同一模板陈述：用户、场景、数据、异常定义、核心闭环、</t>
    </r>
    <r>
      <rPr>
        <sz val="10"/>
        <color rgb="FF243B53"/>
        <rFont val="Aptos"/>
        <family val="0"/>
        <charset val="1"/>
      </rPr>
      <t xml:space="preserve">Spark</t>
    </r>
    <r>
      <rPr>
        <sz val="10"/>
        <color rgb="FF243B53"/>
        <rFont val="PingFang SC"/>
        <family val="2"/>
      </rPr>
      <t xml:space="preserve">必要性。</t>
    </r>
  </si>
  <si>
    <r>
      <rPr>
        <sz val="10"/>
        <color rgb="FF243B53"/>
        <rFont val="PingFang SC"/>
        <family val="2"/>
      </rPr>
      <t xml:space="preserve">团队先检查</t>
    </r>
    <r>
      <rPr>
        <sz val="10"/>
        <color rgb="FF243B53"/>
        <rFont val="Aptos"/>
        <family val="0"/>
        <charset val="1"/>
      </rPr>
      <t xml:space="preserve">6</t>
    </r>
    <r>
      <rPr>
        <sz val="10"/>
        <color rgb="FF243B53"/>
        <rFont val="PingFang SC"/>
        <family val="2"/>
      </rPr>
      <t xml:space="preserve">个硬门槛；“待验证”必须明确</t>
    </r>
    <r>
      <rPr>
        <sz val="10"/>
        <color rgb="FF243B53"/>
        <rFont val="Aptos"/>
        <family val="0"/>
        <charset val="1"/>
      </rPr>
      <t xml:space="preserve">24</t>
    </r>
    <r>
      <rPr>
        <sz val="10"/>
        <color rgb="FF243B53"/>
        <rFont val="PingFang SC"/>
        <family val="2"/>
      </rPr>
      <t xml:space="preserve">小时实验与负责人。</t>
    </r>
  </si>
  <si>
    <t xml:space="preserve">主持人逐项朗读评分问题；团队讨论后只记录一个共识分，不保留个人分。</t>
  </si>
  <si>
    <t xml:space="preserve">无法共识时先记录保留意见和待验证假设；不要用平均数掩盖真实分歧。</t>
  </si>
  <si>
    <t xml:space="preserve">查看总分、六维结构、证据强度和评分完整度，形成优先、验证、备选或放弃结论。</t>
  </si>
  <si>
    <t xml:space="preserve">实验后更新证据索引并在下次会议重评；没有新证据，不允许靠辩论提高分数。</t>
  </si>
  <si>
    <t xml:space="preserve">三、统一评分语言</t>
  </si>
  <si>
    <t xml:space="preserve">分数</t>
  </si>
  <si>
    <t xml:space="preserve">含义</t>
  </si>
  <si>
    <t xml:space="preserve">证据要求</t>
  </si>
  <si>
    <t xml:space="preserve">使用提醒</t>
  </si>
  <si>
    <t xml:space="preserve">决策解释</t>
  </si>
  <si>
    <r>
      <rPr>
        <sz val="9"/>
        <color rgb="FF243B53"/>
        <rFont val="PingFang SC"/>
        <family val="2"/>
      </rPr>
      <t xml:space="preserve">没有信息 </t>
    </r>
    <r>
      <rPr>
        <sz val="9"/>
        <color rgb="FF243B53"/>
        <rFont val="Aptos"/>
        <family val="0"/>
        <charset val="1"/>
      </rPr>
      <t xml:space="preserve">/ </t>
    </r>
    <r>
      <rPr>
        <sz val="9"/>
        <color rgb="FF243B53"/>
        <rFont val="PingFang SC"/>
        <family val="2"/>
      </rPr>
      <t xml:space="preserve">不成立</t>
    </r>
  </si>
  <si>
    <t xml:space="preserve">无</t>
  </si>
  <si>
    <r>
      <rPr>
        <sz val="9"/>
        <color rgb="FF243B53"/>
        <rFont val="PingFang SC"/>
        <family val="2"/>
      </rPr>
      <t xml:space="preserve">不要把“不确定”当成</t>
    </r>
    <r>
      <rPr>
        <sz val="9"/>
        <color rgb="FF243B53"/>
        <rFont val="Aptos"/>
        <family val="0"/>
        <charset val="1"/>
      </rPr>
      <t xml:space="preserve">3</t>
    </r>
    <r>
      <rPr>
        <sz val="9"/>
        <color rgb="FF243B53"/>
        <rFont val="PingFang SC"/>
        <family val="2"/>
      </rPr>
      <t xml:space="preserve">分</t>
    </r>
  </si>
  <si>
    <r>
      <rPr>
        <sz val="10"/>
        <color rgb="FF243B53"/>
        <rFont val="PingFang SC"/>
        <family val="2"/>
      </rPr>
      <t xml:space="preserve">优先：门槛全通过、总分≥</t>
    </r>
    <r>
      <rPr>
        <sz val="10"/>
        <color rgb="FF243B53"/>
        <rFont val="Aptos"/>
        <family val="0"/>
        <charset val="1"/>
      </rPr>
      <t xml:space="preserve">80</t>
    </r>
    <r>
      <rPr>
        <sz val="10"/>
        <color rgb="FF243B53"/>
        <rFont val="PingFang SC"/>
        <family val="2"/>
      </rPr>
      <t xml:space="preserve">、证据≥</t>
    </r>
    <r>
      <rPr>
        <sz val="10"/>
        <color rgb="FF243B53"/>
        <rFont val="Aptos"/>
        <family val="0"/>
        <charset val="1"/>
      </rPr>
      <t xml:space="preserve">70%</t>
    </r>
    <r>
      <rPr>
        <sz val="10"/>
        <color rgb="FF243B53"/>
        <rFont val="PingFang SC"/>
        <family val="2"/>
      </rPr>
      <t xml:space="preserve">。</t>
    </r>
  </si>
  <si>
    <t xml:space="preserve">弱：主要是口号或远期愿景</t>
  </si>
  <si>
    <t xml:space="preserve">仅假设</t>
  </si>
  <si>
    <t xml:space="preserve">需要先验证基本可行性</t>
  </si>
  <si>
    <r>
      <rPr>
        <sz val="10"/>
        <color rgb="FF243B53"/>
        <rFont val="PingFang SC"/>
        <family val="2"/>
      </rPr>
      <t xml:space="preserve">进入</t>
    </r>
    <r>
      <rPr>
        <sz val="10"/>
        <color rgb="FF243B53"/>
        <rFont val="Aptos"/>
        <family val="0"/>
        <charset val="1"/>
      </rPr>
      <t xml:space="preserve">24h</t>
    </r>
    <r>
      <rPr>
        <sz val="10"/>
        <color rgb="FF243B53"/>
        <rFont val="PingFang SC"/>
        <family val="2"/>
      </rPr>
      <t xml:space="preserve">验证：门槛待验证且总分≥待验证总分下限（默认</t>
    </r>
    <r>
      <rPr>
        <sz val="10"/>
        <color rgb="FF243B53"/>
        <rFont val="Aptos"/>
        <family val="0"/>
        <charset val="1"/>
      </rPr>
      <t xml:space="preserve">60</t>
    </r>
    <r>
      <rPr>
        <sz val="10"/>
        <color rgb="FF243B53"/>
        <rFont val="PingFang SC"/>
        <family val="2"/>
      </rPr>
      <t xml:space="preserve">），或门槛通过、总分≥</t>
    </r>
    <r>
      <rPr>
        <sz val="10"/>
        <color rgb="FF243B53"/>
        <rFont val="Aptos"/>
        <family val="0"/>
        <charset val="1"/>
      </rPr>
      <t xml:space="preserve">70</t>
    </r>
    <r>
      <rPr>
        <sz val="10"/>
        <color rgb="FF243B53"/>
        <rFont val="PingFang SC"/>
        <family val="2"/>
      </rPr>
      <t xml:space="preserve">但未达优先线（含高分低证据）。</t>
    </r>
  </si>
  <si>
    <t xml:space="preserve">部分成立，但关键环节缺失</t>
  </si>
  <si>
    <t xml:space="preserve">少量来源</t>
  </si>
  <si>
    <t xml:space="preserve">说明缺口，不补脑</t>
  </si>
  <si>
    <r>
      <rPr>
        <sz val="10"/>
        <color rgb="FF243B53"/>
        <rFont val="PingFang SC"/>
        <family val="2"/>
      </rPr>
      <t xml:space="preserve">会议待完成：</t>
    </r>
    <r>
      <rPr>
        <sz val="10"/>
        <color rgb="FF243B53"/>
        <rFont val="Aptos"/>
        <family val="0"/>
        <charset val="1"/>
      </rPr>
      <t xml:space="preserve">12</t>
    </r>
    <r>
      <rPr>
        <sz val="10"/>
        <color rgb="FF243B53"/>
        <rFont val="PingFang SC"/>
        <family val="2"/>
      </rPr>
      <t xml:space="preserve">项未评完，或团队尚未确认共识。</t>
    </r>
  </si>
  <si>
    <t xml:space="preserve">可信最低线：路径清楚且可落地</t>
  </si>
  <si>
    <t xml:space="preserve">有来源或可复现说明</t>
  </si>
  <si>
    <t xml:space="preserve">可进入比较</t>
  </si>
  <si>
    <r>
      <rPr>
        <sz val="10"/>
        <color rgb="FF243B53"/>
        <rFont val="PingFang SC"/>
        <family val="2"/>
      </rPr>
      <t xml:space="preserve">备选：总分</t>
    </r>
    <r>
      <rPr>
        <sz val="10"/>
        <color rgb="FF243B53"/>
        <rFont val="Aptos"/>
        <family val="0"/>
        <charset val="1"/>
      </rPr>
      <t xml:space="preserve">60–69</t>
    </r>
    <r>
      <rPr>
        <sz val="10"/>
        <color rgb="FF243B53"/>
        <rFont val="PingFang SC"/>
        <family val="2"/>
      </rPr>
      <t xml:space="preserve">，价值存在但参赛竞争力不足。</t>
    </r>
  </si>
  <si>
    <t xml:space="preserve">强：已有原型、数据或测量结果</t>
  </si>
  <si>
    <t xml:space="preserve">必须有来源</t>
  </si>
  <si>
    <r>
      <rPr>
        <sz val="9"/>
        <color rgb="FF243B53"/>
        <rFont val="PingFang SC"/>
        <family val="2"/>
      </rPr>
      <t xml:space="preserve">无证据自动封顶按</t>
    </r>
    <r>
      <rPr>
        <sz val="9"/>
        <color rgb="FF243B53"/>
        <rFont val="Aptos"/>
        <family val="0"/>
        <charset val="1"/>
      </rPr>
      <t xml:space="preserve">3</t>
    </r>
    <r>
      <rPr>
        <sz val="9"/>
        <color rgb="FF243B53"/>
        <rFont val="PingFang SC"/>
        <family val="2"/>
      </rPr>
      <t xml:space="preserve">分计算</t>
    </r>
  </si>
  <si>
    <r>
      <rPr>
        <sz val="10"/>
        <color rgb="FF243B53"/>
        <rFont val="PingFang SC"/>
        <family val="2"/>
      </rPr>
      <t xml:space="preserve">淘汰</t>
    </r>
    <r>
      <rPr>
        <sz val="10"/>
        <color rgb="FF243B53"/>
        <rFont val="Aptos"/>
        <family val="0"/>
        <charset val="1"/>
      </rPr>
      <t xml:space="preserve">/</t>
    </r>
    <r>
      <rPr>
        <sz val="10"/>
        <color rgb="FF243B53"/>
        <rFont val="PingFang SC"/>
        <family val="2"/>
      </rPr>
      <t xml:space="preserve">放弃：硬门槛失败；总分</t>
    </r>
    <r>
      <rPr>
        <sz val="10"/>
        <color rgb="FF243B53"/>
        <rFont val="Aptos"/>
        <family val="0"/>
        <charset val="1"/>
      </rPr>
      <t xml:space="preserve">&lt;60</t>
    </r>
    <r>
      <rPr>
        <sz val="10"/>
        <color rgb="FF243B53"/>
        <rFont val="PingFang SC"/>
        <family val="2"/>
      </rPr>
      <t xml:space="preserve">；门槛待验证且总分</t>
    </r>
    <r>
      <rPr>
        <sz val="10"/>
        <color rgb="FF243B53"/>
        <rFont val="Aptos"/>
        <family val="0"/>
        <charset val="1"/>
      </rPr>
      <t xml:space="preserve">&lt;</t>
    </r>
    <r>
      <rPr>
        <sz val="10"/>
        <color rgb="FF243B53"/>
        <rFont val="PingFang SC"/>
        <family val="2"/>
      </rPr>
      <t xml:space="preserve">待验证总分下限。</t>
    </r>
  </si>
  <si>
    <t xml:space="preserve">卓越：现场可演示且有对照验证</t>
  </si>
  <si>
    <t xml:space="preserve">必须已验证</t>
  </si>
  <si>
    <t xml:space="preserve">需要可复现，不接受单次演示</t>
  </si>
  <si>
    <r>
      <rPr>
        <b val="true"/>
        <sz val="10"/>
        <color rgb="FF92400E"/>
        <rFont val="PingFang SC"/>
        <family val="2"/>
      </rPr>
      <t xml:space="preserve">术语：前</t>
    </r>
    <r>
      <rPr>
        <b val="true"/>
        <sz val="10"/>
        <color rgb="FF92400E"/>
        <rFont val="Aptos"/>
        <family val="0"/>
        <charset val="1"/>
      </rPr>
      <t xml:space="preserve">72</t>
    </r>
    <r>
      <rPr>
        <b val="true"/>
        <sz val="10"/>
        <color rgb="FF92400E"/>
        <rFont val="PingFang SC"/>
        <family val="2"/>
      </rPr>
      <t xml:space="preserve">小时最小纵切 </t>
    </r>
    <r>
      <rPr>
        <b val="true"/>
        <sz val="10"/>
        <color rgb="FF92400E"/>
        <rFont val="Aptos"/>
        <family val="0"/>
        <charset val="1"/>
      </rPr>
      <t xml:space="preserve">= </t>
    </r>
    <r>
      <rPr>
        <b val="true"/>
        <sz val="10"/>
        <color rgb="FF92400E"/>
        <rFont val="PingFang SC"/>
        <family val="2"/>
      </rPr>
      <t xml:space="preserve">数据输入→模型判断→可见结果，用来尽早暴露集成风险，并非</t>
    </r>
    <r>
      <rPr>
        <b val="true"/>
        <sz val="10"/>
        <color rgb="FF92400E"/>
        <rFont val="Aptos"/>
        <family val="0"/>
        <charset val="1"/>
      </rPr>
      <t xml:space="preserve">72</t>
    </r>
    <r>
      <rPr>
        <b val="true"/>
        <sz val="10"/>
        <color rgb="FF92400E"/>
        <rFont val="PingFang SC"/>
        <family val="2"/>
      </rPr>
      <t xml:space="preserve">小时做完产品。核心闭环≤</t>
    </r>
    <r>
      <rPr>
        <b val="true"/>
        <sz val="10"/>
        <color rgb="FF92400E"/>
        <rFont val="Aptos"/>
        <family val="0"/>
        <charset val="1"/>
      </rPr>
      <t xml:space="preserve">90</t>
    </r>
    <r>
      <rPr>
        <b val="true"/>
        <sz val="10"/>
        <color rgb="FF92400E"/>
        <rFont val="PingFang SC"/>
        <family val="2"/>
      </rPr>
      <t xml:space="preserve">秒 </t>
    </r>
    <r>
      <rPr>
        <b val="true"/>
        <sz val="10"/>
        <color rgb="FF92400E"/>
        <rFont val="Aptos"/>
        <family val="0"/>
        <charset val="1"/>
      </rPr>
      <t xml:space="preserve">= </t>
    </r>
    <r>
      <rPr>
        <b val="true"/>
        <sz val="10"/>
        <color rgb="FF92400E"/>
        <rFont val="PingFang SC"/>
        <family val="2"/>
      </rPr>
      <t xml:space="preserve">评委在</t>
    </r>
    <r>
      <rPr>
        <b val="true"/>
        <sz val="10"/>
        <color rgb="FF92400E"/>
        <rFont val="Aptos"/>
        <family val="0"/>
        <charset val="1"/>
      </rPr>
      <t xml:space="preserve">90</t>
    </r>
    <r>
      <rPr>
        <b val="true"/>
        <sz val="10"/>
        <color rgb="FF92400E"/>
        <rFont val="PingFang SC"/>
        <family val="2"/>
      </rPr>
      <t xml:space="preserve">秒内看懂异常→判断→行动→结果，并非整场路演只有</t>
    </r>
    <r>
      <rPr>
        <b val="true"/>
        <sz val="10"/>
        <color rgb="FF92400E"/>
        <rFont val="Aptos"/>
        <family val="0"/>
        <charset val="1"/>
      </rPr>
      <t xml:space="preserve">90</t>
    </r>
    <r>
      <rPr>
        <b val="true"/>
        <sz val="10"/>
        <color rgb="FF92400E"/>
        <rFont val="PingFang SC"/>
        <family val="2"/>
      </rPr>
      <t xml:space="preserve">秒。前三个项目均为演示数据。 </t>
    </r>
    <r>
      <rPr>
        <b val="true"/>
        <sz val="10"/>
        <color rgb="FF92400E"/>
        <rFont val="Aptos"/>
        <family val="0"/>
        <charset val="1"/>
      </rPr>
      <t xml:space="preserve">v0.3</t>
    </r>
    <r>
      <rPr>
        <b val="true"/>
        <sz val="10"/>
        <color rgb="FF92400E"/>
        <rFont val="PingFang SC"/>
        <family val="2"/>
      </rPr>
      <t xml:space="preserve">新增：</t>
    </r>
    <r>
      <rPr>
        <b val="true"/>
        <sz val="10"/>
        <color rgb="FF92400E"/>
        <rFont val="Aptos"/>
        <family val="0"/>
        <charset val="1"/>
      </rPr>
      <t xml:space="preserve">4–5</t>
    </r>
    <r>
      <rPr>
        <b val="true"/>
        <sz val="10"/>
        <color rgb="FF92400E"/>
        <rFont val="PingFang SC"/>
        <family val="2"/>
      </rPr>
      <t xml:space="preserve">分若对应证据系数</t>
    </r>
    <r>
      <rPr>
        <b val="true"/>
        <sz val="10"/>
        <color rgb="FF92400E"/>
        <rFont val="Aptos"/>
        <family val="0"/>
        <charset val="1"/>
      </rPr>
      <t xml:space="preserve">&lt;60%</t>
    </r>
    <r>
      <rPr>
        <b val="true"/>
        <sz val="10"/>
        <color rgb="FF92400E"/>
        <rFont val="PingFang SC"/>
        <family val="2"/>
      </rPr>
      <t xml:space="preserve">（低于“有来源”），总分计算时自动按</t>
    </r>
    <r>
      <rPr>
        <b val="true"/>
        <sz val="10"/>
        <color rgb="FF92400E"/>
        <rFont val="Aptos"/>
        <family val="0"/>
        <charset val="1"/>
      </rPr>
      <t xml:space="preserve">3</t>
    </r>
    <r>
      <rPr>
        <b val="true"/>
        <sz val="10"/>
        <color rgb="FF92400E"/>
        <rFont val="PingFang SC"/>
        <family val="2"/>
      </rPr>
      <t xml:space="preserve">分封顶；被封顶项数见“会议评分”</t>
    </r>
    <r>
      <rPr>
        <b val="true"/>
        <sz val="10"/>
        <color rgb="FF92400E"/>
        <rFont val="Aptos"/>
        <family val="0"/>
        <charset val="1"/>
      </rPr>
      <t xml:space="preserve">AK</t>
    </r>
    <r>
      <rPr>
        <b val="true"/>
        <sz val="10"/>
        <color rgb="FF92400E"/>
        <rFont val="PingFang SC"/>
        <family val="2"/>
      </rPr>
      <t xml:space="preserve">列。</t>
    </r>
  </si>
  <si>
    <t xml:space="preserve">参数与评分锚点</t>
  </si>
  <si>
    <t xml:space="preserve">权重、锚点和阈值都是工作簿内的显式参数。修改这里即可重算所有项目，避免隐藏规则。</t>
  </si>
  <si>
    <t xml:space="preserve">ID</t>
  </si>
  <si>
    <t xml:space="preserve">支柱</t>
  </si>
  <si>
    <t xml:space="preserve">评分项</t>
  </si>
  <si>
    <t xml:space="preserve">权重</t>
  </si>
  <si>
    <t xml:space="preserve">关键问题</t>
  </si>
  <si>
    <r>
      <rPr>
        <b val="true"/>
        <sz val="9"/>
        <color rgb="FFFFFFFF"/>
        <rFont val="Aptos"/>
        <family val="0"/>
        <charset val="1"/>
      </rPr>
      <t xml:space="preserve">1</t>
    </r>
    <r>
      <rPr>
        <b val="true"/>
        <sz val="9"/>
        <color rgb="FFFFFFFF"/>
        <rFont val="PingFang SC"/>
        <family val="2"/>
      </rPr>
      <t xml:space="preserve">分锚点</t>
    </r>
  </si>
  <si>
    <r>
      <rPr>
        <b val="true"/>
        <sz val="9"/>
        <color rgb="FFFFFFFF"/>
        <rFont val="Aptos"/>
        <family val="0"/>
        <charset val="1"/>
      </rPr>
      <t xml:space="preserve">3</t>
    </r>
    <r>
      <rPr>
        <b val="true"/>
        <sz val="9"/>
        <color rgb="FFFFFFFF"/>
        <rFont val="PingFang SC"/>
        <family val="2"/>
      </rPr>
      <t xml:space="preserve">分锚点</t>
    </r>
  </si>
  <si>
    <r>
      <rPr>
        <b val="true"/>
        <sz val="9"/>
        <color rgb="FFFFFFFF"/>
        <rFont val="Aptos"/>
        <family val="0"/>
        <charset val="1"/>
      </rPr>
      <t xml:space="preserve">5</t>
    </r>
    <r>
      <rPr>
        <b val="true"/>
        <sz val="9"/>
        <color rgb="FFFFFFFF"/>
        <rFont val="PingFang SC"/>
        <family val="2"/>
      </rPr>
      <t xml:space="preserve">分锚点</t>
    </r>
  </si>
  <si>
    <t xml:space="preserve">所需证据</t>
  </si>
  <si>
    <t xml:space="preserve">证据状态</t>
  </si>
  <si>
    <t xml:space="preserve">系数</t>
  </si>
  <si>
    <t xml:space="preserve">C1</t>
  </si>
  <si>
    <t xml:space="preserve">产品与商业化</t>
  </si>
  <si>
    <t xml:space="preserve">痛点强度与用户清晰度</t>
  </si>
  <si>
    <t xml:space="preserve">谁在什么时刻遭遇多严重、多频繁的问题？</t>
  </si>
  <si>
    <t xml:space="preserve">泛化痛点，没有具体用户</t>
  </si>
  <si>
    <t xml:space="preserve">用户、触发时刻和可观察损失明确</t>
  </si>
  <si>
    <r>
      <rPr>
        <sz val="9"/>
        <color rgb="FF243B53"/>
        <rFont val="PingFang SC"/>
        <family val="2"/>
      </rPr>
      <t xml:space="preserve">高频或高损痛点，已有访谈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案例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量化证据</t>
    </r>
  </si>
  <si>
    <t xml:space="preserve">访谈、工单、事故或业务损失证据</t>
  </si>
  <si>
    <t xml:space="preserve">未提供</t>
  </si>
  <si>
    <t xml:space="preserve">C2</t>
  </si>
  <si>
    <t xml:space="preserve">付费方、价值与扩展路径</t>
  </si>
  <si>
    <t xml:space="preserve">谁付费，为什么付费，怎样从原型走向试点？</t>
  </si>
  <si>
    <t xml:space="preserve">无付费者或只有宏大市场</t>
  </si>
  <si>
    <t xml:space="preserve">付费方与价值主张清楚，有合理试点路径</t>
  </si>
  <si>
    <r>
      <rPr>
        <sz val="9"/>
        <color rgb="FF243B53"/>
        <rFont val="Aptos"/>
        <family val="0"/>
        <charset val="1"/>
      </rPr>
      <t xml:space="preserve">ROI/</t>
    </r>
    <r>
      <rPr>
        <sz val="9"/>
        <color rgb="FF243B53"/>
        <rFont val="PingFang SC"/>
        <family val="2"/>
      </rPr>
      <t xml:space="preserve">预算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渠道可量化，商业扩展自然</t>
    </r>
  </si>
  <si>
    <r>
      <rPr>
        <sz val="9"/>
        <color rgb="FF243B53"/>
        <rFont val="PingFang SC"/>
        <family val="2"/>
      </rPr>
      <t xml:space="preserve">采购方、</t>
    </r>
    <r>
      <rPr>
        <sz val="9"/>
        <color rgb="FF243B53"/>
        <rFont val="Aptos"/>
        <family val="0"/>
        <charset val="1"/>
      </rPr>
      <t xml:space="preserve">ROI</t>
    </r>
    <r>
      <rPr>
        <sz val="9"/>
        <color rgb="FF243B53"/>
        <rFont val="PingFang SC"/>
        <family val="2"/>
      </rPr>
      <t xml:space="preserve">假设、试点或渠道证据</t>
    </r>
  </si>
  <si>
    <t xml:space="preserve">假设</t>
  </si>
  <si>
    <t xml:space="preserve">C3</t>
  </si>
  <si>
    <t xml:space="preserve">场景与实用性</t>
  </si>
  <si>
    <t xml:space="preserve">场景具体性与深度优先</t>
  </si>
  <si>
    <t xml:space="preserve">是否聚焦一个具体工作流，并把关键例外做深？</t>
  </si>
  <si>
    <t xml:space="preserve">大而全平台，用户流程模糊</t>
  </si>
  <si>
    <t xml:space="preserve">聚焦单一场景，主流程与主要例外明确</t>
  </si>
  <si>
    <t xml:space="preserve">边界、异常、人工升级和责任链都清楚</t>
  </si>
  <si>
    <r>
      <rPr>
        <sz val="9"/>
        <color rgb="FF243B53"/>
        <rFont val="PingFang SC"/>
        <family val="2"/>
      </rPr>
      <t xml:space="preserve">场景图、用户旅程、流程或</t>
    </r>
    <r>
      <rPr>
        <sz val="9"/>
        <color rgb="FF243B53"/>
        <rFont val="Aptos"/>
        <family val="0"/>
        <charset val="1"/>
      </rPr>
      <t xml:space="preserve">SOP</t>
    </r>
  </si>
  <si>
    <t xml:space="preserve">有来源</t>
  </si>
  <si>
    <t xml:space="preserve">C4</t>
  </si>
  <si>
    <t xml:space="preserve">行动性与实际结果</t>
  </si>
  <si>
    <t xml:space="preserve">输出是否改变真实决策或推动下一步行动？</t>
  </si>
  <si>
    <t xml:space="preserve">只生成文本、总结或聊天</t>
  </si>
  <si>
    <t xml:space="preserve">给指定角色可执行建议</t>
  </si>
  <si>
    <t xml:space="preserve">完成行动、确认结果，并在不确定时升级</t>
  </si>
  <si>
    <r>
      <rPr>
        <sz val="9"/>
        <color rgb="FF243B53"/>
        <rFont val="PingFang SC"/>
        <family val="2"/>
      </rPr>
      <t xml:space="preserve">行动接口、处置</t>
    </r>
    <r>
      <rPr>
        <sz val="9"/>
        <color rgb="FF243B53"/>
        <rFont val="Aptos"/>
        <family val="0"/>
        <charset val="1"/>
      </rPr>
      <t xml:space="preserve">SOP</t>
    </r>
    <r>
      <rPr>
        <sz val="9"/>
        <color rgb="FF243B53"/>
        <rFont val="PingFang SC"/>
        <family val="2"/>
      </rPr>
      <t xml:space="preserve">、闭环结果</t>
    </r>
  </si>
  <si>
    <t xml:space="preserve">已验证</t>
  </si>
  <si>
    <t xml:space="preserve">C5</t>
  </si>
  <si>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与竞赛适配</t>
    </r>
  </si>
  <si>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不可替代性</t>
    </r>
  </si>
  <si>
    <t xml:space="preserve">本地、低延迟、断网、统一内存或隐私是否是硬需求？</t>
  </si>
  <si>
    <r>
      <rPr>
        <sz val="9"/>
        <color rgb="FF243B53"/>
        <rFont val="PingFang SC"/>
        <family val="2"/>
      </rPr>
      <t xml:space="preserve">普通笔记本或云</t>
    </r>
    <r>
      <rPr>
        <sz val="9"/>
        <color rgb="FF243B53"/>
        <rFont val="Aptos"/>
        <family val="0"/>
        <charset val="1"/>
      </rPr>
      <t xml:space="preserve">API</t>
    </r>
    <r>
      <rPr>
        <sz val="9"/>
        <color rgb="FF243B53"/>
        <rFont val="PingFang SC"/>
        <family val="2"/>
      </rPr>
      <t xml:space="preserve">即可完成</t>
    </r>
  </si>
  <si>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明显改善隐私、延迟或可部署性</t>
    </r>
  </si>
  <si>
    <r>
      <rPr>
        <sz val="9"/>
        <color rgb="FF243B53"/>
        <rFont val="PingFang SC"/>
        <family val="2"/>
      </rPr>
      <t xml:space="preserve">可现场演示断网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本地多模型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敏感数据优势</t>
    </r>
  </si>
  <si>
    <t xml:space="preserve">断网测试、延迟、内存或隐私约束</t>
  </si>
  <si>
    <t xml:space="preserve">C6</t>
  </si>
  <si>
    <t xml:space="preserve">能力互补与时间状态价值</t>
  </si>
  <si>
    <r>
      <rPr>
        <sz val="9"/>
        <color rgb="FF243B53"/>
        <rFont val="PingFang SC"/>
        <family val="2"/>
      </rPr>
      <t xml:space="preserve">多模型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传感器是否带来独立证据，历史状态是否必要？</t>
    </r>
  </si>
  <si>
    <t xml:space="preserve">同一模型换角色，没有增量信息</t>
  </si>
  <si>
    <t xml:space="preserve">不同数据或模型各有明确贡献</t>
  </si>
  <si>
    <r>
      <rPr>
        <sz val="9"/>
        <color rgb="FF243B53"/>
        <rFont val="PingFang SC"/>
        <family val="2"/>
      </rPr>
      <t xml:space="preserve">消融或时间序列证明每个感官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状态不可替代</t>
    </r>
  </si>
  <si>
    <t xml:space="preserve">单模态对照、消融、轨迹或状态样例</t>
  </si>
  <si>
    <t xml:space="preserve">C7</t>
  </si>
  <si>
    <t xml:space="preserve">演示与闭环</t>
  </si>
  <si>
    <r>
      <rPr>
        <sz val="9"/>
        <color rgb="FF243B53"/>
        <rFont val="PingFang SC"/>
        <family val="2"/>
      </rPr>
      <t xml:space="preserve">核心价值闭环≤</t>
    </r>
    <r>
      <rPr>
        <sz val="9"/>
        <color rgb="FF243B53"/>
        <rFont val="Aptos"/>
        <family val="0"/>
        <charset val="1"/>
      </rPr>
      <t xml:space="preserve">90</t>
    </r>
    <r>
      <rPr>
        <sz val="9"/>
        <color rgb="FF243B53"/>
        <rFont val="PingFang SC"/>
        <family val="2"/>
      </rPr>
      <t xml:space="preserve">秒</t>
    </r>
  </si>
  <si>
    <r>
      <rPr>
        <sz val="9"/>
        <color rgb="FF243B53"/>
        <rFont val="PingFang SC"/>
        <family val="2"/>
      </rPr>
      <t xml:space="preserve">评委能否在</t>
    </r>
    <r>
      <rPr>
        <sz val="9"/>
        <color rgb="FF243B53"/>
        <rFont val="Aptos"/>
        <family val="0"/>
        <charset val="1"/>
      </rPr>
      <t xml:space="preserve">90</t>
    </r>
    <r>
      <rPr>
        <sz val="9"/>
        <color rgb="FF243B53"/>
        <rFont val="PingFang SC"/>
        <family val="2"/>
      </rPr>
      <t xml:space="preserve">秒内看到异常→判断→行动→结果？（不等于整场路演只有</t>
    </r>
    <r>
      <rPr>
        <sz val="9"/>
        <color rgb="FF243B53"/>
        <rFont val="Aptos"/>
        <family val="0"/>
        <charset val="1"/>
      </rPr>
      <t xml:space="preserve">90</t>
    </r>
    <r>
      <rPr>
        <sz val="9"/>
        <color rgb="FF243B53"/>
        <rFont val="PingFang SC"/>
        <family val="2"/>
      </rPr>
      <t xml:space="preserve">秒）</t>
    </r>
  </si>
  <si>
    <r>
      <rPr>
        <sz val="9"/>
        <color rgb="FF243B53"/>
        <rFont val="PingFang SC"/>
        <family val="2"/>
      </rPr>
      <t xml:space="preserve">超过</t>
    </r>
    <r>
      <rPr>
        <sz val="9"/>
        <color rgb="FF243B53"/>
        <rFont val="Aptos"/>
        <family val="0"/>
        <charset val="1"/>
      </rPr>
      <t xml:space="preserve">3</t>
    </r>
    <r>
      <rPr>
        <sz val="9"/>
        <color rgb="FF243B53"/>
        <rFont val="PingFang SC"/>
        <family val="2"/>
      </rPr>
      <t xml:space="preserve">分钟或没有明确终点</t>
    </r>
  </si>
  <si>
    <r>
      <rPr>
        <sz val="9"/>
        <color rgb="FF243B53"/>
        <rFont val="Aptos"/>
        <family val="0"/>
        <charset val="1"/>
      </rPr>
      <t xml:space="preserve">90</t>
    </r>
    <r>
      <rPr>
        <sz val="9"/>
        <color rgb="FF243B53"/>
        <rFont val="PingFang SC"/>
        <family val="2"/>
      </rPr>
      <t xml:space="preserve">秒内有清楚的前后变化</t>
    </r>
  </si>
  <si>
    <r>
      <rPr>
        <sz val="9"/>
        <color rgb="FF243B53"/>
        <rFont val="Aptos"/>
        <family val="0"/>
        <charset val="1"/>
      </rPr>
      <t xml:space="preserve">60</t>
    </r>
    <r>
      <rPr>
        <sz val="9"/>
        <color rgb="FF243B53"/>
        <rFont val="PingFang SC"/>
        <family val="2"/>
      </rPr>
      <t xml:space="preserve">秒内闭环，失败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分歧也有处理</t>
    </r>
  </si>
  <si>
    <t xml:space="preserve">固定演示脚本、录屏或端到端计时</t>
  </si>
  <si>
    <t xml:space="preserve">决策阈值</t>
  </si>
  <si>
    <t xml:space="preserve">值</t>
  </si>
  <si>
    <t xml:space="preserve">C8</t>
  </si>
  <si>
    <r>
      <rPr>
        <sz val="9"/>
        <color rgb="FF243B53"/>
        <rFont val="PingFang SC"/>
        <family val="2"/>
      </rPr>
      <t xml:space="preserve">可视化、直观性与</t>
    </r>
    <r>
      <rPr>
        <sz val="9"/>
        <color rgb="FF243B53"/>
        <rFont val="Aptos"/>
        <family val="0"/>
        <charset val="1"/>
      </rPr>
      <t xml:space="preserve">wow</t>
    </r>
  </si>
  <si>
    <t xml:space="preserve">核心价值是否无需解释就能被看见？</t>
  </si>
  <si>
    <t xml:space="preserve">主要是终端或长文本</t>
  </si>
  <si>
    <r>
      <rPr>
        <sz val="9"/>
        <color rgb="FF243B53"/>
        <rFont val="PingFang SC"/>
        <family val="2"/>
      </rPr>
      <t xml:space="preserve">地图、时间线、</t>
    </r>
    <r>
      <rPr>
        <sz val="9"/>
        <color rgb="FF243B53"/>
        <rFont val="Aptos"/>
        <family val="0"/>
        <charset val="1"/>
      </rPr>
      <t xml:space="preserve">3D</t>
    </r>
    <r>
      <rPr>
        <sz val="9"/>
        <color rgb="FF243B53"/>
        <rFont val="PingFang SC"/>
        <family val="2"/>
      </rPr>
      <t xml:space="preserve">、叠加层等表达清楚</t>
    </r>
  </si>
  <si>
    <t xml:space="preserve">视觉变化直观，同时展示依据、不确定性和结果</t>
  </si>
  <si>
    <t xml:space="preserve">界面原型、故事板、视觉证据</t>
  </si>
  <si>
    <t xml:space="preserve">优先总分</t>
  </si>
  <si>
    <t xml:space="preserve">C9</t>
  </si>
  <si>
    <t xml:space="preserve">数据与评估</t>
  </si>
  <si>
    <t xml:space="preserve">数据可信、合法与可获得</t>
  </si>
  <si>
    <t xml:space="preserve">数据能否及时获得，来源、许可、版本和覆盖是否可信？</t>
  </si>
  <si>
    <t xml:space="preserve">没有数据或来源不明</t>
  </si>
  <si>
    <r>
      <rPr>
        <sz val="9"/>
        <color rgb="FF243B53"/>
        <rFont val="PingFang SC"/>
        <family val="2"/>
      </rPr>
      <t xml:space="preserve">数据可访问且出处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许可清楚</t>
    </r>
  </si>
  <si>
    <t xml:space="preserve">权威、版本化、有覆盖和标签，并有离线副本</t>
  </si>
  <si>
    <r>
      <rPr>
        <sz val="9"/>
        <color rgb="FF243B53"/>
        <rFont val="PingFang SC"/>
        <family val="2"/>
      </rPr>
      <t xml:space="preserve">权威</t>
    </r>
    <r>
      <rPr>
        <sz val="9"/>
        <color rgb="FF243B53"/>
        <rFont val="Aptos"/>
        <family val="0"/>
        <charset val="1"/>
      </rPr>
      <t xml:space="preserve">URL</t>
    </r>
    <r>
      <rPr>
        <sz val="9"/>
        <color rgb="FF243B53"/>
        <rFont val="PingFang SC"/>
        <family val="2"/>
      </rPr>
      <t xml:space="preserve">、许可、样本、版本或数据字典</t>
    </r>
  </si>
  <si>
    <t xml:space="preserve">优先证据强度</t>
  </si>
  <si>
    <t xml:space="preserve">C10</t>
  </si>
  <si>
    <t xml:space="preserve">异常定义、指标与透明审计</t>
  </si>
  <si>
    <r>
      <rPr>
        <sz val="9"/>
        <color rgb="FF243B53"/>
        <rFont val="PingFang SC"/>
        <family val="2"/>
      </rPr>
      <t xml:space="preserve">异常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成功能否被规则化、复现和量化评估？</t>
    </r>
  </si>
  <si>
    <r>
      <rPr>
        <sz val="9"/>
        <color rgb="FF243B53"/>
        <rFont val="PingFang SC"/>
        <family val="2"/>
      </rPr>
      <t xml:space="preserve">只有“</t>
    </r>
    <r>
      <rPr>
        <sz val="9"/>
        <color rgb="FF243B53"/>
        <rFont val="Aptos"/>
        <family val="0"/>
        <charset val="1"/>
      </rPr>
      <t xml:space="preserve">AI</t>
    </r>
    <r>
      <rPr>
        <sz val="9"/>
        <color rgb="FF243B53"/>
        <rFont val="PingFang SC"/>
        <family val="2"/>
      </rPr>
      <t xml:space="preserve">识别风险”等模糊描述</t>
    </r>
  </si>
  <si>
    <t xml:space="preserve">阈值、标签和指标明确，可重复评测</t>
  </si>
  <si>
    <t xml:space="preserve">有基线、测试集、误报漏报和完整审计链</t>
  </si>
  <si>
    <t xml:space="preserve">标注规范、测试集、指标、基线和日志</t>
  </si>
  <si>
    <t xml:space="preserve">验证总分</t>
  </si>
  <si>
    <r>
      <rPr>
        <sz val="10"/>
        <rFont val="PingFang SC"/>
        <family val="2"/>
      </rPr>
      <t xml:space="preserve">总分≥此值且未达优先线 → 进入</t>
    </r>
    <r>
      <rPr>
        <sz val="10"/>
        <rFont val="Arial"/>
        <family val="2"/>
      </rPr>
      <t xml:space="preserve">24h</t>
    </r>
    <r>
      <rPr>
        <sz val="10"/>
        <rFont val="PingFang SC"/>
        <family val="2"/>
      </rPr>
      <t xml:space="preserve">验证（含高分低证据）</t>
    </r>
  </si>
  <si>
    <t xml:space="preserve">C11</t>
  </si>
  <si>
    <t xml:space="preserve">交付与风险</t>
  </si>
  <si>
    <r>
      <rPr>
        <sz val="9"/>
        <color rgb="FF243B53"/>
        <rFont val="PingFang SC"/>
        <family val="2"/>
      </rPr>
      <t xml:space="preserve">前</t>
    </r>
    <r>
      <rPr>
        <sz val="9"/>
        <color rgb="FF243B53"/>
        <rFont val="Aptos"/>
        <family val="0"/>
        <charset val="1"/>
      </rPr>
      <t xml:space="preserve">72h</t>
    </r>
    <r>
      <rPr>
        <sz val="9"/>
        <color rgb="FF243B53"/>
        <rFont val="PingFang SC"/>
        <family val="2"/>
      </rPr>
      <t xml:space="preserve">最小端到端链路</t>
    </r>
  </si>
  <si>
    <t xml:space="preserve">前三天能否跑通数据输入→模型判断→可见结果？（不要求完成整个产品）</t>
  </si>
  <si>
    <t xml:space="preserve">范围超过赛期或依赖过多</t>
  </si>
  <si>
    <r>
      <rPr>
        <sz val="9"/>
        <color rgb="FF243B53"/>
        <rFont val="Aptos"/>
        <family val="0"/>
        <charset val="1"/>
      </rPr>
      <t xml:space="preserve">72</t>
    </r>
    <r>
      <rPr>
        <sz val="9"/>
        <color rgb="FF243B53"/>
        <rFont val="PingFang SC"/>
        <family val="2"/>
      </rPr>
      <t xml:space="preserve">小时内最小链路可行，责任可拆分</t>
    </r>
  </si>
  <si>
    <r>
      <rPr>
        <sz val="9"/>
        <color rgb="FF243B53"/>
        <rFont val="Aptos"/>
        <family val="0"/>
        <charset val="1"/>
      </rPr>
      <t xml:space="preserve">24–48</t>
    </r>
    <r>
      <rPr>
        <sz val="9"/>
        <color rgb="FF243B53"/>
        <rFont val="PingFang SC"/>
        <family val="2"/>
      </rPr>
      <t xml:space="preserve">小时骨架可运行，关键依赖已验证</t>
    </r>
  </si>
  <si>
    <t xml:space="preserve">任务图、时间盒、负责人和纵切计划</t>
  </si>
  <si>
    <t xml:space="preserve">待验证总分下限</t>
  </si>
  <si>
    <t xml:space="preserve">门槛待验证且总分低于此值 → 放弃</t>
  </si>
  <si>
    <t xml:space="preserve">C12</t>
  </si>
  <si>
    <t xml:space="preserve">技术风险、资源预算与降级</t>
  </si>
  <si>
    <r>
      <rPr>
        <sz val="9"/>
        <color rgb="FF243B53"/>
        <rFont val="Aptos"/>
        <family val="0"/>
        <charset val="1"/>
      </rPr>
      <t xml:space="preserve">aarch64</t>
    </r>
    <r>
      <rPr>
        <sz val="9"/>
        <color rgb="FF243B53"/>
        <rFont val="PingFang SC"/>
        <family val="2"/>
      </rPr>
      <t xml:space="preserve">、内存、模型、网络和失败恢复是否有可靠后路？</t>
    </r>
  </si>
  <si>
    <r>
      <rPr>
        <sz val="9"/>
        <color rgb="FF243B53"/>
        <rFont val="PingFang SC"/>
        <family val="2"/>
      </rPr>
      <t xml:space="preserve">关键模型未验证，</t>
    </r>
    <r>
      <rPr>
        <sz val="9"/>
        <color rgb="FF243B53"/>
        <rFont val="Aptos"/>
        <family val="0"/>
        <charset val="1"/>
      </rPr>
      <t xml:space="preserve">OOM</t>
    </r>
    <r>
      <rPr>
        <sz val="9"/>
        <color rgb="FF243B53"/>
        <rFont val="PingFang SC"/>
        <family val="2"/>
      </rPr>
      <t xml:space="preserve">或依赖风险高</t>
    </r>
  </si>
  <si>
    <t xml:space="preserve">有内存预算、主路径测试和替代方案</t>
  </si>
  <si>
    <r>
      <rPr>
        <sz val="9"/>
        <color rgb="FF243B53"/>
        <rFont val="PingFang SC"/>
        <family val="2"/>
      </rPr>
      <t xml:space="preserve">延迟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内存已测，有降级、重启和断网恢复</t>
    </r>
  </si>
  <si>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实测、资源预算、</t>
    </r>
    <r>
      <rPr>
        <sz val="9"/>
        <color rgb="FF243B53"/>
        <rFont val="Aptos"/>
        <family val="0"/>
        <charset val="1"/>
      </rPr>
      <t xml:space="preserve">fallback</t>
    </r>
    <r>
      <rPr>
        <sz val="9"/>
        <color rgb="FF243B53"/>
        <rFont val="PingFang SC"/>
        <family val="2"/>
      </rPr>
      <t xml:space="preserve">与恢复测试</t>
    </r>
  </si>
  <si>
    <t xml:space="preserve">备选下限</t>
  </si>
  <si>
    <r>
      <rPr>
        <b val="true"/>
        <sz val="10"/>
        <color rgb="FF102A43"/>
        <rFont val="PingFang SC"/>
        <family val="2"/>
      </rPr>
      <t xml:space="preserve">权重合计（必须</t>
    </r>
    <r>
      <rPr>
        <b val="true"/>
        <sz val="10"/>
        <color rgb="FF102A43"/>
        <rFont val="Aptos"/>
        <family val="0"/>
        <charset val="1"/>
      </rPr>
      <t xml:space="preserve">=100</t>
    </r>
    <r>
      <rPr>
        <b val="true"/>
        <sz val="10"/>
        <color rgb="FF102A43"/>
        <rFont val="PingFang SC"/>
        <family val="2"/>
      </rPr>
      <t xml:space="preserve">）</t>
    </r>
  </si>
  <si>
    <t xml:space="preserve">评分完整度要求</t>
  </si>
  <si>
    <r>
      <rPr>
        <b val="true"/>
        <sz val="9"/>
        <color rgb="FFFFFFFF"/>
        <rFont val="Aptos"/>
        <family val="0"/>
        <charset val="1"/>
      </rPr>
      <t xml:space="preserve">6</t>
    </r>
    <r>
      <rPr>
        <b val="true"/>
        <sz val="9"/>
        <color rgb="FFFFFFFF"/>
        <rFont val="PingFang SC"/>
        <family val="2"/>
      </rPr>
      <t xml:space="preserve">个硬门槛（通过 </t>
    </r>
    <r>
      <rPr>
        <b val="true"/>
        <sz val="9"/>
        <color rgb="FFFFFFFF"/>
        <rFont val="Aptos"/>
        <family val="0"/>
        <charset val="1"/>
      </rPr>
      <t xml:space="preserve">/ </t>
    </r>
    <r>
      <rPr>
        <b val="true"/>
        <sz val="9"/>
        <color rgb="FFFFFFFF"/>
        <rFont val="PingFang SC"/>
        <family val="2"/>
      </rPr>
      <t xml:space="preserve">待验证 </t>
    </r>
    <r>
      <rPr>
        <b val="true"/>
        <sz val="9"/>
        <color rgb="FFFFFFFF"/>
        <rFont val="Aptos"/>
        <family val="0"/>
        <charset val="1"/>
      </rPr>
      <t xml:space="preserve">/ </t>
    </r>
    <r>
      <rPr>
        <b val="true"/>
        <sz val="9"/>
        <color rgb="FFFFFFFF"/>
        <rFont val="PingFang SC"/>
        <family val="2"/>
      </rPr>
      <t xml:space="preserve">失败）</t>
    </r>
  </si>
  <si>
    <t xml:space="preserve">G1</t>
  </si>
  <si>
    <r>
      <rPr>
        <sz val="9"/>
        <color rgb="FF243B53"/>
        <rFont val="PingFang SC"/>
        <family val="2"/>
      </rPr>
      <t xml:space="preserve">数据</t>
    </r>
    <r>
      <rPr>
        <sz val="9"/>
        <color rgb="FF243B53"/>
        <rFont val="Aptos"/>
        <family val="0"/>
        <charset val="1"/>
      </rPr>
      <t xml:space="preserve">48</t>
    </r>
    <r>
      <rPr>
        <sz val="9"/>
        <color rgb="FF243B53"/>
        <rFont val="PingFang SC"/>
        <family val="2"/>
      </rPr>
      <t xml:space="preserve">小时可用</t>
    </r>
  </si>
  <si>
    <t xml:space="preserve">合法、可下载、可留离线副本</t>
  </si>
  <si>
    <t xml:space="preserve">失败：核心数据不可获得或许可不明</t>
  </si>
  <si>
    <t xml:space="preserve">G2</t>
  </si>
  <si>
    <r>
      <rPr>
        <sz val="9"/>
        <color rgb="FF243B53"/>
        <rFont val="PingFang SC"/>
        <family val="2"/>
      </rPr>
      <t xml:space="preserve">异常</t>
    </r>
    <r>
      <rPr>
        <sz val="9"/>
        <color rgb="FF243B53"/>
        <rFont val="Aptos"/>
        <family val="0"/>
        <charset val="1"/>
      </rPr>
      <t xml:space="preserve">48</t>
    </r>
    <r>
      <rPr>
        <sz val="9"/>
        <color rgb="FF243B53"/>
        <rFont val="PingFang SC"/>
        <family val="2"/>
      </rPr>
      <t xml:space="preserve">小时可定义</t>
    </r>
  </si>
  <si>
    <t xml:space="preserve">标签、规则或代理真值可写成测试</t>
  </si>
  <si>
    <t xml:space="preserve">失败：只能靠主观感觉判断好坏</t>
  </si>
  <si>
    <t xml:space="preserve">G3</t>
  </si>
  <si>
    <r>
      <rPr>
        <sz val="9"/>
        <color rgb="FF243B53"/>
        <rFont val="PingFang SC"/>
        <family val="2"/>
      </rPr>
      <t xml:space="preserve">前</t>
    </r>
    <r>
      <rPr>
        <sz val="9"/>
        <color rgb="FF243B53"/>
        <rFont val="Aptos"/>
        <family val="0"/>
        <charset val="1"/>
      </rPr>
      <t xml:space="preserve">72h</t>
    </r>
    <r>
      <rPr>
        <sz val="9"/>
        <color rgb="FF243B53"/>
        <rFont val="PingFang SC"/>
        <family val="2"/>
      </rPr>
      <t xml:space="preserve">最小链路</t>
    </r>
  </si>
  <si>
    <t xml:space="preserve">数据输入→模型判断→可见结果可运行；不是完成整个产品</t>
  </si>
  <si>
    <t xml:space="preserve">失败：关键路径依赖赛期外工作</t>
  </si>
  <si>
    <t xml:space="preserve">G4</t>
  </si>
  <si>
    <r>
      <rPr>
        <sz val="9"/>
        <color rgb="FF243B53"/>
        <rFont val="PingFang SC"/>
        <family val="2"/>
      </rPr>
      <t xml:space="preserve">核心闭环≤</t>
    </r>
    <r>
      <rPr>
        <sz val="9"/>
        <color rgb="FF243B53"/>
        <rFont val="Aptos"/>
        <family val="0"/>
        <charset val="1"/>
      </rPr>
      <t xml:space="preserve">90</t>
    </r>
    <r>
      <rPr>
        <sz val="9"/>
        <color rgb="FF243B53"/>
        <rFont val="PingFang SC"/>
        <family val="2"/>
      </rPr>
      <t xml:space="preserve">秒</t>
    </r>
  </si>
  <si>
    <r>
      <rPr>
        <sz val="9"/>
        <color rgb="FF243B53"/>
        <rFont val="PingFang SC"/>
        <family val="2"/>
      </rPr>
      <t xml:space="preserve">固定回放能在</t>
    </r>
    <r>
      <rPr>
        <sz val="9"/>
        <color rgb="FF243B53"/>
        <rFont val="Aptos"/>
        <family val="0"/>
        <charset val="1"/>
      </rPr>
      <t xml:space="preserve">90</t>
    </r>
    <r>
      <rPr>
        <sz val="9"/>
        <color rgb="FF243B53"/>
        <rFont val="PingFang SC"/>
        <family val="2"/>
      </rPr>
      <t xml:space="preserve">秒内展示异常→判断→行动→结果；不是整场路演时长</t>
    </r>
  </si>
  <si>
    <t xml:space="preserve">失败：依赖不可控直播或临场输入</t>
  </si>
  <si>
    <t xml:space="preserve">G5</t>
  </si>
  <si>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技术路径</t>
    </r>
  </si>
  <si>
    <r>
      <rPr>
        <sz val="9"/>
        <color rgb="FF243B53"/>
        <rFont val="Aptos"/>
        <family val="0"/>
        <charset val="1"/>
      </rPr>
      <t xml:space="preserve">aarch64</t>
    </r>
    <r>
      <rPr>
        <sz val="9"/>
        <color rgb="FF243B53"/>
        <rFont val="PingFang SC"/>
        <family val="2"/>
      </rPr>
      <t xml:space="preserve">、模型、内存和运行时有方案</t>
    </r>
  </si>
  <si>
    <t xml:space="preserve">失败：没有可运行模型或可靠降级</t>
  </si>
  <si>
    <t xml:space="preserve">G6</t>
  </si>
  <si>
    <t xml:space="preserve">安全与责任边界</t>
  </si>
  <si>
    <t xml:space="preserve">隐私、误报、人工确认和禁止动作明确</t>
  </si>
  <si>
    <r>
      <rPr>
        <sz val="9"/>
        <color rgb="FF243B53"/>
        <rFont val="PingFang SC"/>
        <family val="2"/>
      </rPr>
      <t xml:space="preserve">失败：不可接受法律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安全风险</t>
    </r>
  </si>
  <si>
    <t xml:space="preserve">项目清单与团队汇总</t>
  </si>
  <si>
    <r>
      <rPr>
        <sz val="10"/>
        <color rgb="FF243B53"/>
        <rFont val="PingFang SC"/>
        <family val="2"/>
      </rPr>
      <t xml:space="preserve">黄色为输入；蓝灰为公式。先填写</t>
    </r>
    <r>
      <rPr>
        <sz val="10"/>
        <color rgb="FF243B53"/>
        <rFont val="Aptos"/>
        <family val="0"/>
        <charset val="1"/>
      </rPr>
      <t xml:space="preserve">A–P</t>
    </r>
    <r>
      <rPr>
        <sz val="10"/>
        <color rgb="FF243B53"/>
        <rFont val="PingFang SC"/>
        <family val="2"/>
      </rPr>
      <t xml:space="preserve">，再由团队在“会议评分”逐项形成一个共识分，并在“证据索引”登记依据。前三行是可覆盖的演示数据。</t>
    </r>
  </si>
  <si>
    <r>
      <rPr>
        <b val="true"/>
        <sz val="9"/>
        <color rgb="FFFFFFFF"/>
        <rFont val="PingFang SC"/>
        <family val="2"/>
      </rPr>
      <t xml:space="preserve">项目</t>
    </r>
    <r>
      <rPr>
        <b val="true"/>
        <sz val="9"/>
        <color rgb="FFFFFFFF"/>
        <rFont val="Aptos"/>
        <family val="0"/>
        <charset val="1"/>
      </rPr>
      <t xml:space="preserve">ID</t>
    </r>
  </si>
  <si>
    <t xml:space="preserve">项目名称</t>
  </si>
  <si>
    <t xml:space="preserve">一句话场景</t>
  </si>
  <si>
    <t xml:space="preserve">目标用户</t>
  </si>
  <si>
    <r>
      <rPr>
        <b val="true"/>
        <sz val="9"/>
        <color rgb="FFFFFFFF"/>
        <rFont val="PingFang SC"/>
        <family val="2"/>
      </rPr>
      <t xml:space="preserve">付费者</t>
    </r>
    <r>
      <rPr>
        <b val="true"/>
        <sz val="9"/>
        <color rgb="FFFFFFFF"/>
        <rFont val="Aptos"/>
        <family val="0"/>
        <charset val="1"/>
      </rPr>
      <t xml:space="preserve">/</t>
    </r>
    <r>
      <rPr>
        <b val="true"/>
        <sz val="9"/>
        <color rgb="FFFFFFFF"/>
        <rFont val="PingFang SC"/>
        <family val="2"/>
      </rPr>
      <t xml:space="preserve">采购方</t>
    </r>
  </si>
  <si>
    <t xml:space="preserve">商业化路径</t>
  </si>
  <si>
    <t xml:space="preserve">可信数据来源</t>
  </si>
  <si>
    <r>
      <rPr>
        <b val="true"/>
        <sz val="9"/>
        <color rgb="FFFFFFFF"/>
        <rFont val="PingFang SC"/>
        <family val="2"/>
      </rPr>
      <t xml:space="preserve">可验证异常</t>
    </r>
    <r>
      <rPr>
        <b val="true"/>
        <sz val="9"/>
        <color rgb="FFFFFFFF"/>
        <rFont val="Aptos"/>
        <family val="0"/>
        <charset val="1"/>
      </rPr>
      <t xml:space="preserve">/</t>
    </r>
    <r>
      <rPr>
        <b val="true"/>
        <sz val="9"/>
        <color rgb="FFFFFFFF"/>
        <rFont val="PingFang SC"/>
        <family val="2"/>
      </rPr>
      <t xml:space="preserve">目标</t>
    </r>
  </si>
  <si>
    <r>
      <rPr>
        <b val="true"/>
        <sz val="9"/>
        <color rgb="FFFFFFFF"/>
        <rFont val="PingFang SC"/>
        <family val="2"/>
      </rPr>
      <t xml:space="preserve">核心闭环≤</t>
    </r>
    <r>
      <rPr>
        <b val="true"/>
        <sz val="9"/>
        <color rgb="FFFFFFFF"/>
        <rFont val="Aptos"/>
        <family val="0"/>
        <charset val="1"/>
      </rPr>
      <t xml:space="preserve">90</t>
    </r>
    <r>
      <rPr>
        <b val="true"/>
        <sz val="9"/>
        <color rgb="FFFFFFFF"/>
        <rFont val="PingFang SC"/>
        <family val="2"/>
      </rPr>
      <t xml:space="preserve">秒</t>
    </r>
  </si>
  <si>
    <r>
      <rPr>
        <b val="true"/>
        <sz val="9"/>
        <color rgb="FFFFFFFF"/>
        <rFont val="Aptos"/>
        <family val="0"/>
        <charset val="1"/>
      </rPr>
      <t xml:space="preserve">Spark</t>
    </r>
    <r>
      <rPr>
        <b val="true"/>
        <sz val="9"/>
        <color rgb="FFFFFFFF"/>
        <rFont val="PingFang SC"/>
        <family val="2"/>
      </rPr>
      <t xml:space="preserve">不可替代性</t>
    </r>
  </si>
  <si>
    <r>
      <rPr>
        <b val="true"/>
        <sz val="9"/>
        <color rgb="FFFFFFFF"/>
        <rFont val="Aptos"/>
        <family val="0"/>
        <charset val="1"/>
      </rPr>
      <t xml:space="preserve">G1 </t>
    </r>
    <r>
      <rPr>
        <b val="true"/>
        <sz val="9"/>
        <color rgb="FFFFFFFF"/>
        <rFont val="PingFang SC"/>
        <family val="2"/>
      </rPr>
      <t xml:space="preserve">数据</t>
    </r>
    <r>
      <rPr>
        <b val="true"/>
        <sz val="9"/>
        <color rgb="FFFFFFFF"/>
        <rFont val="Aptos"/>
        <family val="0"/>
        <charset val="1"/>
      </rPr>
      <t xml:space="preserve">48h</t>
    </r>
  </si>
  <si>
    <r>
      <rPr>
        <b val="true"/>
        <sz val="9"/>
        <color rgb="FFFFFFFF"/>
        <rFont val="Aptos"/>
        <family val="0"/>
        <charset val="1"/>
      </rPr>
      <t xml:space="preserve">G2 </t>
    </r>
    <r>
      <rPr>
        <b val="true"/>
        <sz val="9"/>
        <color rgb="FFFFFFFF"/>
        <rFont val="PingFang SC"/>
        <family val="2"/>
      </rPr>
      <t xml:space="preserve">异常定义</t>
    </r>
  </si>
  <si>
    <r>
      <rPr>
        <b val="true"/>
        <sz val="9"/>
        <color rgb="FFFFFFFF"/>
        <rFont val="Aptos"/>
        <family val="0"/>
        <charset val="1"/>
      </rPr>
      <t xml:space="preserve">G3 </t>
    </r>
    <r>
      <rPr>
        <b val="true"/>
        <sz val="9"/>
        <color rgb="FFFFFFFF"/>
        <rFont val="PingFang SC"/>
        <family val="2"/>
      </rPr>
      <t xml:space="preserve">前</t>
    </r>
    <r>
      <rPr>
        <b val="true"/>
        <sz val="9"/>
        <color rgb="FFFFFFFF"/>
        <rFont val="Aptos"/>
        <family val="0"/>
        <charset val="1"/>
      </rPr>
      <t xml:space="preserve">72h</t>
    </r>
    <r>
      <rPr>
        <b val="true"/>
        <sz val="9"/>
        <color rgb="FFFFFFFF"/>
        <rFont val="PingFang SC"/>
        <family val="2"/>
      </rPr>
      <t xml:space="preserve">链路</t>
    </r>
  </si>
  <si>
    <r>
      <rPr>
        <b val="true"/>
        <sz val="9"/>
        <color rgb="FFFFFFFF"/>
        <rFont val="Aptos"/>
        <family val="0"/>
        <charset val="1"/>
      </rPr>
      <t xml:space="preserve">G4 90</t>
    </r>
    <r>
      <rPr>
        <b val="true"/>
        <sz val="9"/>
        <color rgb="FFFFFFFF"/>
        <rFont val="PingFang SC"/>
        <family val="2"/>
      </rPr>
      <t xml:space="preserve">秒闭环</t>
    </r>
  </si>
  <si>
    <r>
      <rPr>
        <b val="true"/>
        <sz val="9"/>
        <color rgb="FFFFFFFF"/>
        <rFont val="Aptos"/>
        <family val="0"/>
        <charset val="1"/>
      </rPr>
      <t xml:space="preserve">G5 Spark</t>
    </r>
    <r>
      <rPr>
        <b val="true"/>
        <sz val="9"/>
        <color rgb="FFFFFFFF"/>
        <rFont val="PingFang SC"/>
        <family val="2"/>
      </rPr>
      <t xml:space="preserve">路径</t>
    </r>
  </si>
  <si>
    <r>
      <rPr>
        <b val="true"/>
        <sz val="9"/>
        <color rgb="FFFFFFFF"/>
        <rFont val="Aptos"/>
        <family val="0"/>
        <charset val="1"/>
      </rPr>
      <t xml:space="preserve">G6 </t>
    </r>
    <r>
      <rPr>
        <b val="true"/>
        <sz val="9"/>
        <color rgb="FFFFFFFF"/>
        <rFont val="PingFang SC"/>
        <family val="2"/>
      </rPr>
      <t xml:space="preserve">安全边界</t>
    </r>
  </si>
  <si>
    <t xml:space="preserve">门槛结果</t>
  </si>
  <si>
    <t xml:space="preserve">产品商业</t>
  </si>
  <si>
    <t xml:space="preserve">场景实用</t>
  </si>
  <si>
    <r>
      <rPr>
        <b val="true"/>
        <sz val="9"/>
        <color rgb="FFFFFFFF"/>
        <rFont val="Aptos"/>
        <family val="0"/>
        <charset val="1"/>
      </rPr>
      <t xml:space="preserve">Spark</t>
    </r>
    <r>
      <rPr>
        <b val="true"/>
        <sz val="9"/>
        <color rgb="FFFFFFFF"/>
        <rFont val="PingFang SC"/>
        <family val="2"/>
      </rPr>
      <t xml:space="preserve">竞赛</t>
    </r>
  </si>
  <si>
    <t xml:space="preserve">演示闭环</t>
  </si>
  <si>
    <t xml:space="preserve">数据评估</t>
  </si>
  <si>
    <t xml:space="preserve">交付风险</t>
  </si>
  <si>
    <t xml:space="preserve">总分</t>
  </si>
  <si>
    <t xml:space="preserve">证据强度</t>
  </si>
  <si>
    <t xml:space="preserve">评分完整度</t>
  </si>
  <si>
    <t xml:space="preserve">会议状态</t>
  </si>
  <si>
    <t xml:space="preserve">排名</t>
  </si>
  <si>
    <t xml:space="preserve">建议</t>
  </si>
  <si>
    <t xml:space="preserve">下一步实验</t>
  </si>
  <si>
    <t xml:space="preserve">P01</t>
  </si>
  <si>
    <t xml:space="preserve">示例｜港口多模态异常值守</t>
  </si>
  <si>
    <r>
      <rPr>
        <sz val="9"/>
        <color rgb="FF243B53"/>
        <rFont val="PingFang SC"/>
        <family val="2"/>
      </rPr>
      <t xml:space="preserve">值守员同时看到</t>
    </r>
    <r>
      <rPr>
        <sz val="9"/>
        <color rgb="FF243B53"/>
        <rFont val="Aptos"/>
        <family val="0"/>
        <charset val="1"/>
      </rPr>
      <t xml:space="preserve">AIS</t>
    </r>
    <r>
      <rPr>
        <sz val="9"/>
        <color rgb="FF243B53"/>
        <rFont val="PingFang SC"/>
        <family val="2"/>
      </rPr>
      <t xml:space="preserve">、视频与气象，在</t>
    </r>
    <r>
      <rPr>
        <sz val="9"/>
        <color rgb="FF243B53"/>
        <rFont val="Aptos"/>
        <family val="0"/>
        <charset val="1"/>
      </rPr>
      <t xml:space="preserve">60</t>
    </r>
    <r>
      <rPr>
        <sz val="9"/>
        <color rgb="FF243B53"/>
        <rFont val="PingFang SC"/>
        <family val="2"/>
      </rPr>
      <t xml:space="preserve">秒内识别异常靠近并确认处置</t>
    </r>
  </si>
  <si>
    <t xml:space="preserve">港口调度与安全值守</t>
  </si>
  <si>
    <t xml:space="preserve">港口运营方、海事监管</t>
  </si>
  <si>
    <r>
      <rPr>
        <sz val="9"/>
        <color rgb="FF243B53"/>
        <rFont val="PingFang SC"/>
        <family val="2"/>
      </rPr>
      <t xml:space="preserve">边缘安全设备 </t>
    </r>
    <r>
      <rPr>
        <sz val="9"/>
        <color rgb="FF243B53"/>
        <rFont val="Aptos"/>
        <family val="0"/>
        <charset val="1"/>
      </rPr>
      <t xml:space="preserve">+ </t>
    </r>
    <r>
      <rPr>
        <sz val="9"/>
        <color rgb="FF243B53"/>
        <rFont val="PingFang SC"/>
        <family val="2"/>
      </rPr>
      <t xml:space="preserve">年服务</t>
    </r>
  </si>
  <si>
    <r>
      <rPr>
        <sz val="9"/>
        <color rgb="FF243B53"/>
        <rFont val="Aptos"/>
        <family val="0"/>
        <charset val="1"/>
      </rPr>
      <t xml:space="preserve">AIS</t>
    </r>
    <r>
      <rPr>
        <sz val="9"/>
        <color rgb="FF243B53"/>
        <rFont val="PingFang SC"/>
        <family val="2"/>
      </rPr>
      <t xml:space="preserve">回放、公开视频、气象样本（待核实）</t>
    </r>
  </si>
  <si>
    <r>
      <rPr>
        <sz val="9"/>
        <color rgb="FF243B53"/>
        <rFont val="PingFang SC"/>
        <family val="2"/>
      </rPr>
      <t xml:space="preserve">无</t>
    </r>
    <r>
      <rPr>
        <sz val="9"/>
        <color rgb="FF243B53"/>
        <rFont val="Aptos"/>
        <family val="0"/>
        <charset val="1"/>
      </rPr>
      <t xml:space="preserve">AIS</t>
    </r>
    <r>
      <rPr>
        <sz val="9"/>
        <color rgb="FF243B53"/>
        <rFont val="PingFang SC"/>
        <family val="2"/>
      </rPr>
      <t xml:space="preserve">目标进入禁区；轨迹与视频不一致</t>
    </r>
  </si>
  <si>
    <t xml:space="preserve">回放→检测→跨模态校验→分级→处置确认</t>
  </si>
  <si>
    <t xml:space="preserve">敏感视频不出站；断网仍判断；多模型本地运行</t>
  </si>
  <si>
    <t xml:space="preserve">待验证</t>
  </si>
  <si>
    <t xml:space="preserve">通过</t>
  </si>
  <si>
    <r>
      <rPr>
        <sz val="9"/>
        <color rgb="FF243B53"/>
        <rFont val="PingFang SC"/>
        <family val="2"/>
      </rPr>
      <t xml:space="preserve">确认可合法下载的数据；在</t>
    </r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上验证两条模型路径与内存预算</t>
    </r>
  </si>
  <si>
    <t xml:space="preserve">P02</t>
  </si>
  <si>
    <t xml:space="preserve">示例｜船员疲劳与跌倒预警</t>
  </si>
  <si>
    <t xml:space="preserve">在驾驶台本地识别疲劳、跌倒与呼救，并向值班负责人升级</t>
  </si>
  <si>
    <t xml:space="preserve">船员、船长与安全主管</t>
  </si>
  <si>
    <t xml:space="preserve">船运公司、船舶管理方</t>
  </si>
  <si>
    <r>
      <rPr>
        <sz val="9"/>
        <color rgb="FF243B53"/>
        <rFont val="PingFang SC"/>
        <family val="2"/>
      </rPr>
      <t xml:space="preserve">船载安全系统 </t>
    </r>
    <r>
      <rPr>
        <sz val="9"/>
        <color rgb="FF243B53"/>
        <rFont val="Aptos"/>
        <family val="0"/>
        <charset val="1"/>
      </rPr>
      <t xml:space="preserve">+ </t>
    </r>
    <r>
      <rPr>
        <sz val="9"/>
        <color rgb="FF243B53"/>
        <rFont val="PingFang SC"/>
        <family val="2"/>
      </rPr>
      <t xml:space="preserve">合规服务</t>
    </r>
  </si>
  <si>
    <t xml:space="preserve">公开视频、姿态样本、合成音频（待核实）</t>
  </si>
  <si>
    <r>
      <rPr>
        <sz val="9"/>
        <color rgb="FF243B53"/>
        <rFont val="PingFang SC"/>
        <family val="2"/>
      </rPr>
      <t xml:space="preserve">闭眼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姿态异常持续阈值；跌倒后无恢复动作</t>
    </r>
  </si>
  <si>
    <r>
      <rPr>
        <sz val="9"/>
        <color rgb="FF243B53"/>
        <rFont val="PingFang SC"/>
        <family val="2"/>
      </rPr>
      <t xml:space="preserve">视频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音频→风险融合→提示→人工确认</t>
    </r>
  </si>
  <si>
    <t xml:space="preserve">船上断网；隐私音视频；低延迟值守</t>
  </si>
  <si>
    <r>
      <rPr>
        <sz val="9"/>
        <color rgb="FF243B53"/>
        <rFont val="PingFang SC"/>
        <family val="2"/>
      </rPr>
      <t xml:space="preserve">锁定跌倒</t>
    </r>
    <r>
      <rPr>
        <sz val="9"/>
        <color rgb="FF243B53"/>
        <rFont val="Aptos"/>
        <family val="0"/>
        <charset val="1"/>
      </rPr>
      <t xml:space="preserve">/</t>
    </r>
    <r>
      <rPr>
        <sz val="9"/>
        <color rgb="FF243B53"/>
        <rFont val="PingFang SC"/>
        <family val="2"/>
      </rPr>
      <t xml:space="preserve">疲劳标注规范；验证姿态与音频融合是否降低误报</t>
    </r>
  </si>
  <si>
    <t xml:space="preserve">P03</t>
  </si>
  <si>
    <t xml:space="preserve">示例｜海事事故证据复盘助手</t>
  </si>
  <si>
    <r>
      <rPr>
        <sz val="9"/>
        <color rgb="FF243B53"/>
        <rFont val="PingFang SC"/>
        <family val="2"/>
      </rPr>
      <t xml:space="preserve">把</t>
    </r>
    <r>
      <rPr>
        <sz val="9"/>
        <color rgb="FF243B53"/>
        <rFont val="Aptos"/>
        <family val="0"/>
        <charset val="1"/>
      </rPr>
      <t xml:space="preserve">AIS</t>
    </r>
    <r>
      <rPr>
        <sz val="9"/>
        <color rgb="FF243B53"/>
        <rFont val="PingFang SC"/>
        <family val="2"/>
      </rPr>
      <t xml:space="preserve">、日志、视频与气象合成可审计时间线并解释关键决策点</t>
    </r>
  </si>
  <si>
    <t xml:space="preserve">事故调查员、保险与安全团队</t>
  </si>
  <si>
    <t xml:space="preserve">监管、船东、保险机构</t>
  </si>
  <si>
    <r>
      <rPr>
        <sz val="9"/>
        <color rgb="FF243B53"/>
        <rFont val="PingFang SC"/>
        <family val="2"/>
      </rPr>
      <t xml:space="preserve">调查工作台 </t>
    </r>
    <r>
      <rPr>
        <sz val="9"/>
        <color rgb="FF243B53"/>
        <rFont val="Aptos"/>
        <family val="0"/>
        <charset val="1"/>
      </rPr>
      <t xml:space="preserve">+ </t>
    </r>
    <r>
      <rPr>
        <sz val="9"/>
        <color rgb="FF243B53"/>
        <rFont val="PingFang SC"/>
        <family val="2"/>
      </rPr>
      <t xml:space="preserve">企业许可</t>
    </r>
  </si>
  <si>
    <r>
      <rPr>
        <sz val="9"/>
        <color rgb="FF243B53"/>
        <rFont val="PingFang SC"/>
        <family val="2"/>
      </rPr>
      <t xml:space="preserve">事故报告、</t>
    </r>
    <r>
      <rPr>
        <sz val="9"/>
        <color rgb="FF243B53"/>
        <rFont val="Aptos"/>
        <family val="0"/>
        <charset val="1"/>
      </rPr>
      <t xml:space="preserve">AIS</t>
    </r>
    <r>
      <rPr>
        <sz val="9"/>
        <color rgb="FF243B53"/>
        <rFont val="PingFang SC"/>
        <family val="2"/>
      </rPr>
      <t xml:space="preserve">与气象历史数据（待核实）</t>
    </r>
  </si>
  <si>
    <t xml:space="preserve">轨迹偏离、规则冲突、时间线证据缺口</t>
  </si>
  <si>
    <t xml:space="preserve">导入→时间对齐→异常节点→证据引用→复盘结论</t>
  </si>
  <si>
    <t xml:space="preserve">敏感事故材料本地处理；大上下文与多模态</t>
  </si>
  <si>
    <t xml:space="preserve">确认事故数据许可；做一条可复现的时间线异常基线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</si>
  <si>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</si>
  <si>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</si>
  <si>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</si>
  <si>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</si>
  <si>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</si>
  <si>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</si>
  <si>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</si>
  <si>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会议共识评分</t>
  </si>
  <si>
    <r>
      <rPr>
        <sz val="10"/>
        <color rgb="FF243B53"/>
        <rFont val="PingFang SC"/>
        <family val="2"/>
      </rPr>
      <t xml:space="preserve">每个项目只保留一行会议结论。团队逐项讨论</t>
    </r>
    <r>
      <rPr>
        <sz val="10"/>
        <color rgb="FF243B53"/>
        <rFont val="Aptos"/>
        <family val="0"/>
        <charset val="1"/>
      </rPr>
      <t xml:space="preserve">C1–C12</t>
    </r>
    <r>
      <rPr>
        <sz val="10"/>
        <color rgb="FF243B53"/>
        <rFont val="PingFang SC"/>
        <family val="2"/>
      </rPr>
      <t xml:space="preserve">并记录一个</t>
    </r>
    <r>
      <rPr>
        <sz val="10"/>
        <color rgb="FF243B53"/>
        <rFont val="Aptos"/>
        <family val="0"/>
        <charset val="1"/>
      </rPr>
      <t xml:space="preserve">0–5</t>
    </r>
    <r>
      <rPr>
        <sz val="10"/>
        <color rgb="FF243B53"/>
        <rFont val="PingFang SC"/>
        <family val="2"/>
      </rPr>
      <t xml:space="preserve">共识分；无法共识时写入保留意见。</t>
    </r>
    <r>
      <rPr>
        <sz val="10"/>
        <color rgb="FF243B53"/>
        <rFont val="Aptos"/>
        <family val="0"/>
        <charset val="1"/>
      </rPr>
      <t xml:space="preserve">Y–AJ</t>
    </r>
    <r>
      <rPr>
        <sz val="10"/>
        <color rgb="FF243B53"/>
        <rFont val="PingFang SC"/>
        <family val="2"/>
      </rPr>
      <t xml:space="preserve">为证据封顶后的有效分（</t>
    </r>
    <r>
      <rPr>
        <sz val="10"/>
        <color rgb="FF243B53"/>
        <rFont val="Aptos"/>
        <family val="0"/>
        <charset val="1"/>
      </rPr>
      <t xml:space="preserve">4–5</t>
    </r>
    <r>
      <rPr>
        <sz val="10"/>
        <color rgb="FF243B53"/>
        <rFont val="PingFang SC"/>
        <family val="2"/>
      </rPr>
      <t xml:space="preserve">分若证据系数</t>
    </r>
    <r>
      <rPr>
        <sz val="10"/>
        <color rgb="FF243B53"/>
        <rFont val="Aptos"/>
        <family val="0"/>
        <charset val="1"/>
      </rPr>
      <t xml:space="preserve">&lt;60%</t>
    </r>
    <r>
      <rPr>
        <sz val="10"/>
        <color rgb="FF243B53"/>
        <rFont val="PingFang SC"/>
        <family val="2"/>
      </rPr>
      <t xml:space="preserve">自动按</t>
    </r>
    <r>
      <rPr>
        <sz val="10"/>
        <color rgb="FF243B53"/>
        <rFont val="Aptos"/>
        <family val="0"/>
        <charset val="1"/>
      </rPr>
      <t xml:space="preserve">3</t>
    </r>
    <r>
      <rPr>
        <sz val="10"/>
        <color rgb="FF243B53"/>
        <rFont val="PingFang SC"/>
        <family val="2"/>
      </rPr>
      <t xml:space="preserve">分计算），</t>
    </r>
    <r>
      <rPr>
        <sz val="10"/>
        <color rgb="FF243B53"/>
        <rFont val="Aptos"/>
        <family val="0"/>
        <charset val="1"/>
      </rPr>
      <t xml:space="preserve">AK</t>
    </r>
    <r>
      <rPr>
        <sz val="10"/>
        <color rgb="FF243B53"/>
        <rFont val="PingFang SC"/>
        <family val="2"/>
      </rPr>
      <t xml:space="preserve">统计被封顶项数；</t>
    </r>
    <r>
      <rPr>
        <sz val="10"/>
        <color rgb="FF243B53"/>
        <rFont val="Aptos"/>
        <family val="0"/>
        <charset val="1"/>
      </rPr>
      <t xml:space="preserve">O–V</t>
    </r>
    <r>
      <rPr>
        <sz val="10"/>
        <color rgb="FF243B53"/>
        <rFont val="PingFang SC"/>
        <family val="2"/>
      </rPr>
      <t xml:space="preserve">按有效分自动计算六个支柱、总分与评分完整度。</t>
    </r>
  </si>
  <si>
    <t xml:space="preserve">共识依据</t>
  </si>
  <si>
    <r>
      <rPr>
        <b val="true"/>
        <sz val="9"/>
        <color rgb="FFFFFFFF"/>
        <rFont val="PingFang SC"/>
        <family val="2"/>
      </rPr>
      <t xml:space="preserve">保留意见</t>
    </r>
    <r>
      <rPr>
        <b val="true"/>
        <sz val="9"/>
        <color rgb="FFFFFFFF"/>
        <rFont val="Aptos"/>
        <family val="0"/>
        <charset val="1"/>
      </rPr>
      <t xml:space="preserve">/</t>
    </r>
    <r>
      <rPr>
        <b val="true"/>
        <sz val="9"/>
        <color rgb="FFFFFFFF"/>
        <rFont val="PingFang SC"/>
        <family val="2"/>
      </rPr>
      <t xml:space="preserve">待验证</t>
    </r>
  </si>
  <si>
    <r>
      <rPr>
        <b val="true"/>
        <sz val="9"/>
        <color rgb="FFFFFFFF"/>
        <rFont val="Aptos"/>
        <family val="0"/>
        <charset val="1"/>
      </rPr>
      <t xml:space="preserve">C1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</si>
  <si>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C2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</si>
  <si>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C3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</si>
  <si>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C4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</si>
  <si>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C5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</si>
  <si>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C6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</si>
  <si>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C7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</si>
  <si>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C8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</si>
  <si>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C9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</si>
  <si>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C10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</si>
  <si>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C11</t>
    </r>
    <r>
      <rPr>
        <b val="true"/>
        <sz val="9"/>
        <color rgb="FFFFFFFF"/>
        <rFont val="PingFang SC"/>
        <family val="2"/>
      </rPr>
      <t xml:space="preserve">有效</t>
    </r>
  </si>
  <si>
    <r>
      <rPr>
        <b val="true"/>
        <sz val="9"/>
        <color rgb="FFFFFFFF"/>
        <rFont val="Aptos"/>
        <family val="0"/>
        <charset val="1"/>
      </rPr>
      <t xml:space="preserve">C12</t>
    </r>
    <r>
      <rPr>
        <b val="true"/>
        <sz val="9"/>
        <color rgb="FFFFFFFF"/>
        <rFont val="PingFang SC"/>
        <family val="2"/>
      </rPr>
      <t xml:space="preserve">有效</t>
    </r>
  </si>
  <si>
    <t xml:space="preserve">证据封顶项数</t>
  </si>
  <si>
    <t xml:space="preserve">已达成共识</t>
  </si>
  <si>
    <r>
      <rPr>
        <sz val="9"/>
        <color rgb="FF243B53"/>
        <rFont val="PingFang SC"/>
        <family val="2"/>
      </rPr>
      <t xml:space="preserve">闭环直观；多模态证据互补；</t>
    </r>
    <r>
      <rPr>
        <sz val="9"/>
        <color rgb="FF243B53"/>
        <rFont val="Aptos"/>
        <family val="0"/>
        <charset val="1"/>
      </rPr>
      <t xml:space="preserve">Spark</t>
    </r>
    <r>
      <rPr>
        <sz val="9"/>
        <color rgb="FF243B53"/>
        <rFont val="PingFang SC"/>
        <family val="2"/>
      </rPr>
      <t xml:space="preserve">本地运行叙事自然。</t>
    </r>
  </si>
  <si>
    <r>
      <rPr>
        <sz val="9"/>
        <color rgb="FF243B53"/>
        <rFont val="PingFang SC"/>
        <family val="2"/>
      </rPr>
      <t xml:space="preserve">真实异常标签、</t>
    </r>
    <r>
      <rPr>
        <sz val="9"/>
        <color rgb="FF243B53"/>
        <rFont val="Aptos"/>
        <family val="0"/>
        <charset val="1"/>
      </rPr>
      <t xml:space="preserve">AIS</t>
    </r>
    <r>
      <rPr>
        <sz val="9"/>
        <color rgb="FF243B53"/>
        <rFont val="PingFang SC"/>
        <family val="2"/>
      </rPr>
      <t xml:space="preserve">与视频同步、模型内存尚未实测。</t>
    </r>
  </si>
  <si>
    <t xml:space="preserve">船上断网与隐私需求明确，事件视觉表达强。</t>
  </si>
  <si>
    <t xml:space="preserve">疲劳真值、误报责任与公开数据授权仍需验证。</t>
  </si>
  <si>
    <t xml:space="preserve">可形成透明证据链，采购方与调查流程较清楚。</t>
  </si>
  <si>
    <t xml:space="preserve">事故数据许可、多源时间对齐和即时演示感存在风险。</t>
  </si>
  <si>
    <t xml:space="preserve">未评</t>
  </si>
  <si>
    <t xml:space="preserve">证据索引</t>
  </si>
  <si>
    <r>
      <rPr>
        <sz val="10"/>
        <color rgb="FF243B53"/>
        <rFont val="PingFang SC"/>
        <family val="2"/>
      </rPr>
      <t xml:space="preserve">每个项目 </t>
    </r>
    <r>
      <rPr>
        <sz val="10"/>
        <color rgb="FF243B53"/>
        <rFont val="Aptos"/>
        <family val="0"/>
        <charset val="1"/>
      </rPr>
      <t xml:space="preserve">× </t>
    </r>
    <r>
      <rPr>
        <sz val="10"/>
        <color rgb="FF243B53"/>
        <rFont val="PingFang SC"/>
        <family val="2"/>
      </rPr>
      <t xml:space="preserve">每个评分项一行。证据状态会转换为</t>
    </r>
    <r>
      <rPr>
        <sz val="10"/>
        <color rgb="FF243B53"/>
        <rFont val="Aptos"/>
        <family val="0"/>
        <charset val="1"/>
      </rPr>
      <t xml:space="preserve">0%/25%/60%/100%</t>
    </r>
    <r>
      <rPr>
        <sz val="10"/>
        <color rgb="FF243B53"/>
        <rFont val="PingFang SC"/>
        <family val="2"/>
      </rPr>
      <t xml:space="preserve">，项目证据强度取</t>
    </r>
    <r>
      <rPr>
        <sz val="10"/>
        <color rgb="FF243B53"/>
        <rFont val="Aptos"/>
        <family val="0"/>
        <charset val="1"/>
      </rPr>
      <t xml:space="preserve">12</t>
    </r>
    <r>
      <rPr>
        <sz val="10"/>
        <color rgb="FF243B53"/>
        <rFont val="PingFang SC"/>
        <family val="2"/>
      </rPr>
      <t xml:space="preserve">项平均；高分不能替代证据。</t>
    </r>
  </si>
  <si>
    <r>
      <rPr>
        <b val="true"/>
        <sz val="9"/>
        <color rgb="FFFFFFFF"/>
        <rFont val="PingFang SC"/>
        <family val="2"/>
      </rPr>
      <t xml:space="preserve">评分项</t>
    </r>
    <r>
      <rPr>
        <b val="true"/>
        <sz val="9"/>
        <color rgb="FFFFFFFF"/>
        <rFont val="Aptos"/>
        <family val="0"/>
        <charset val="1"/>
      </rPr>
      <t xml:space="preserve">ID</t>
    </r>
  </si>
  <si>
    <t xml:space="preserve">证据摘要</t>
  </si>
  <si>
    <r>
      <rPr>
        <b val="true"/>
        <sz val="9"/>
        <color rgb="FFFFFFFF"/>
        <rFont val="PingFang SC"/>
        <family val="2"/>
      </rPr>
      <t xml:space="preserve">来源</t>
    </r>
    <r>
      <rPr>
        <b val="true"/>
        <sz val="9"/>
        <color rgb="FFFFFFFF"/>
        <rFont val="Aptos"/>
        <family val="0"/>
        <charset val="1"/>
      </rPr>
      <t xml:space="preserve">URL/</t>
    </r>
    <r>
      <rPr>
        <b val="true"/>
        <sz val="9"/>
        <color rgb="FFFFFFFF"/>
        <rFont val="PingFang SC"/>
        <family val="2"/>
      </rPr>
      <t xml:space="preserve">路径</t>
    </r>
  </si>
  <si>
    <t xml:space="preserve">负责人</t>
  </si>
  <si>
    <t xml:space="preserve">复验日期</t>
  </si>
  <si>
    <t xml:space="preserve">证据系数</t>
  </si>
  <si>
    <t xml:space="preserve">演示占位：正式评审时替换为可核验事实</t>
  </si>
  <si>
    <r>
      <rPr>
        <sz val="9"/>
        <color rgb="FF243B53"/>
        <rFont val="PingFang SC"/>
        <family val="2"/>
      </rPr>
      <t xml:space="preserve">请替换为真实</t>
    </r>
    <r>
      <rPr>
        <sz val="9"/>
        <color rgb="FF243B53"/>
        <rFont val="Aptos"/>
        <family val="0"/>
        <charset val="1"/>
      </rPr>
      <t xml:space="preserve">URL</t>
    </r>
    <r>
      <rPr>
        <sz val="9"/>
        <color rgb="FF243B53"/>
        <rFont val="PingFang SC"/>
        <family val="2"/>
      </rPr>
      <t xml:space="preserve">或仓库路径</t>
    </r>
  </si>
  <si>
    <t xml:space="preserve">待分配</t>
  </si>
  <si>
    <t xml:space="preserve">选题决策面板</t>
  </si>
  <si>
    <r>
      <rPr>
        <sz val="10"/>
        <color rgb="FF243B53"/>
        <rFont val="PingFang SC"/>
        <family val="2"/>
      </rPr>
      <t xml:space="preserve">看四件事：硬门槛是否通过、会议共识总分、证据强度、</t>
    </r>
    <r>
      <rPr>
        <sz val="10"/>
        <color rgb="FF243B53"/>
        <rFont val="Aptos"/>
        <family val="0"/>
        <charset val="1"/>
      </rPr>
      <t xml:space="preserve">12</t>
    </r>
    <r>
      <rPr>
        <sz val="10"/>
        <color rgb="FF243B53"/>
        <rFont val="PingFang SC"/>
        <family val="2"/>
      </rPr>
      <t xml:space="preserve">项评分是否完整。演示数据仅用于说明工作方式。</t>
    </r>
  </si>
  <si>
    <t xml:space="preserve">候选项目</t>
  </si>
  <si>
    <t xml:space="preserve">硬门槛全通过</t>
  </si>
  <si>
    <t xml:space="preserve">当前优先</t>
  </si>
  <si>
    <t xml:space="preserve">最高总分</t>
  </si>
  <si>
    <t xml:space="preserve">项目</t>
  </si>
  <si>
    <t xml:space="preserve">证据</t>
  </si>
  <si>
    <t xml:space="preserve">门槛</t>
  </si>
  <si>
    <t xml:space="preserve">下一步</t>
  </si>
  <si>
    <t xml:space="preserve">判读顺序：先看门槛 → 再看共识总分 → 再看证据 → 最后确认评分完整度。高分、低证据的项目不是冠军，而是最值得优先验证的假设；无法共识的地方写入保留意见。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</si>
</sst>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"/>
    <numFmt numFmtId="168" formatCode="yyyy/mm/dd"/>
  </numFmts>
  <fonts count="2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20"/>
      <color rgb="FFFFFFFF"/>
      <name val="Aptos Display"/>
      <family val="0"/>
      <charset val="1"/>
    </font>
    <font>
      <b val="true"/>
      <sz val="20"/>
      <color rgb="FFFFFFFF"/>
      <name val="PingFang SC"/>
      <family val="2"/>
    </font>
    <font>
      <sz val="10"/>
      <color rgb="FF243B53"/>
      <name val="PingFang SC"/>
      <family val="2"/>
    </font>
    <font>
      <sz val="10"/>
      <color rgb="FF243B53"/>
      <name val="Aptos"/>
      <family val="0"/>
      <charset val="1"/>
    </font>
    <font>
      <b val="true"/>
      <sz val="11"/>
      <color rgb="FFFFFFFF"/>
      <name val="PingFang SC"/>
      <family val="2"/>
    </font>
    <font>
      <b val="true"/>
      <sz val="9"/>
      <color rgb="FFFFFFFF"/>
      <name val="PingFang SC"/>
      <family val="2"/>
    </font>
    <font>
      <sz val="9"/>
      <color rgb="FF243B53"/>
      <name val="Aptos"/>
      <family val="0"/>
      <charset val="1"/>
    </font>
    <font>
      <sz val="9"/>
      <color rgb="FF243B53"/>
      <name val="PingFang SC"/>
      <family val="2"/>
    </font>
    <font>
      <b val="true"/>
      <sz val="11"/>
      <color rgb="FFFFFFFF"/>
      <name val="Aptos"/>
      <family val="0"/>
      <charset val="1"/>
    </font>
    <font>
      <b val="true"/>
      <sz val="11"/>
      <color rgb="FF1D4ED8"/>
      <name val="Aptos"/>
      <family val="0"/>
      <charset val="1"/>
    </font>
    <font>
      <b val="true"/>
      <sz val="10"/>
      <color rgb="FF92400E"/>
      <name val="PingFang SC"/>
      <family val="2"/>
    </font>
    <font>
      <b val="true"/>
      <sz val="10"/>
      <color rgb="FF92400E"/>
      <name val="Aptos"/>
      <family val="0"/>
      <charset val="1"/>
    </font>
    <font>
      <b val="true"/>
      <sz val="9"/>
      <color rgb="FFFFFFFF"/>
      <name val="Aptos"/>
      <family val="0"/>
      <charset val="1"/>
    </font>
    <font>
      <sz val="10"/>
      <name val="PingFang SC"/>
      <family val="2"/>
    </font>
    <font>
      <b val="true"/>
      <sz val="10"/>
      <color rgb="FF102A43"/>
      <name val="PingFang SC"/>
      <family val="2"/>
    </font>
    <font>
      <b val="true"/>
      <sz val="10"/>
      <color rgb="FF102A43"/>
      <name val="Aptos"/>
      <family val="0"/>
      <charset val="1"/>
    </font>
    <font>
      <b val="true"/>
      <sz val="9"/>
      <color rgb="FF1D4ED8"/>
      <name val="Aptos"/>
      <family val="0"/>
      <charset val="1"/>
    </font>
    <font>
      <b val="true"/>
      <sz val="22"/>
      <color rgb="FF1D4ED8"/>
      <name val="Aptos Display"/>
      <family val="0"/>
      <charset val="1"/>
    </font>
    <font>
      <b val="true"/>
      <sz val="9"/>
      <color rgb="FF627D98"/>
      <name val="PingFang SC"/>
      <family val="2"/>
    </font>
    <font>
      <b val="true"/>
      <sz val="9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02A43"/>
        <bgColor rgb="FF243B53"/>
      </patternFill>
    </fill>
    <fill>
      <patternFill patternType="solid">
        <fgColor rgb="FFEAF2FF"/>
        <bgColor rgb="FFEAF7ED"/>
      </patternFill>
    </fill>
    <fill>
      <patternFill patternType="solid">
        <fgColor rgb="FF1D4ED8"/>
        <bgColor rgb="FF3366FF"/>
      </patternFill>
    </fill>
    <fill>
      <patternFill patternType="solid">
        <fgColor rgb="FFF5F7FA"/>
        <bgColor rgb="FFEAF2FF"/>
      </patternFill>
    </fill>
    <fill>
      <patternFill patternType="solid">
        <fgColor rgb="FFFFF7E6"/>
        <bgColor rgb="FFFFFBEA"/>
      </patternFill>
    </fill>
    <fill>
      <patternFill patternType="solid">
        <fgColor rgb="FFFFFBEA"/>
        <bgColor rgb="FFFFF7E6"/>
      </patternFill>
    </fill>
    <fill>
      <patternFill patternType="solid">
        <fgColor rgb="FFFFFFFF"/>
        <bgColor rgb="FFFFFBEA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EC"/>
      </bottom>
      <diagonal/>
    </border>
    <border diagonalUp="false" diagonalDown="false">
      <left/>
      <right style="thin">
        <color rgb="FF486581"/>
      </right>
      <top/>
      <bottom/>
      <diagonal/>
    </border>
    <border diagonalUp="false" diagonalDown="false">
      <left style="thin">
        <color rgb="FF486581"/>
      </left>
      <right style="thin">
        <color rgb="FF486581"/>
      </right>
      <top/>
      <bottom/>
      <diagonal/>
    </border>
    <border diagonalUp="false" diagonalDown="false">
      <left style="thin">
        <color rgb="FF486581"/>
      </left>
      <right/>
      <top/>
      <bottom/>
      <diagonal/>
    </border>
    <border diagonalUp="false" diagonalDown="false">
      <left/>
      <right/>
      <top style="thin">
        <color rgb="FFD9E2EC"/>
      </top>
      <bottom style="thin">
        <color rgb="FFD9E2EC"/>
      </bottom>
      <diagonal/>
    </border>
    <border diagonalUp="false" diagonalDown="false">
      <left/>
      <right/>
      <top style="thin">
        <color rgb="FFD9E2EC"/>
      </top>
      <bottom/>
      <diagonal/>
    </border>
    <border diagonalUp="false" diagonalDown="false"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 diagonalUp="false" diagonalDown="false">
      <left style="thin">
        <color rgb="FF1D4ED8"/>
      </left>
      <right/>
      <top style="thin">
        <color rgb="FF1D4ED8"/>
      </top>
      <bottom style="thin">
        <color rgb="FF1D4ED8"/>
      </bottom>
      <diagonal/>
    </border>
    <border diagonalUp="false" diagonalDown="false">
      <left/>
      <right style="thin">
        <color rgb="FF1D4ED8"/>
      </right>
      <top style="thin">
        <color rgb="FF1D4ED8"/>
      </top>
      <bottom style="thin">
        <color rgb="FF1D4ED8"/>
      </bottom>
      <diagonal/>
    </border>
    <border diagonalUp="false" diagonalDown="false"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6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6" borderId="7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9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5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5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5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5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7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7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7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7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7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7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3" borderId="1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3" borderId="1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8" borderId="1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6">
    <dxf>
      <font>
        <b val="1"/>
        <color rgb="FF15803D"/>
      </font>
      <fill>
        <patternFill>
          <bgColor rgb="FFEAF7ED"/>
        </patternFill>
      </fill>
    </dxf>
    <dxf>
      <font>
        <b val="1"/>
        <color rgb="FFD97706"/>
      </font>
      <fill>
        <patternFill>
          <bgColor rgb="FFFFF7E6"/>
        </patternFill>
      </fill>
    </dxf>
    <dxf>
      <font>
        <b val="1"/>
        <color rgb="FFB91C1C"/>
      </font>
      <fill>
        <patternFill>
          <bgColor rgb="FFFDECEC"/>
        </patternFill>
      </fill>
    </dxf>
    <dxf>
      <font>
        <color rgb="FF1D4ED8"/>
      </font>
      <fill>
        <patternFill>
          <bgColor rgb="FFEAF2FF"/>
        </patternFill>
      </fill>
    </dxf>
    <dxf>
      <font>
        <color rgb="FFD97706"/>
      </font>
      <fill>
        <patternFill>
          <bgColor rgb="FFFFF7E6"/>
        </patternFill>
      </fill>
    </dxf>
    <dxf>
      <font>
        <color rgb="FFB91C1C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156082"/>
      <rgbColor rgb="FFCCCCCC"/>
      <rgbColor rgb="FF8B8B8B"/>
      <rgbColor rgb="FF9999FF"/>
      <rgbColor rgb="FFB91C1C"/>
      <rgbColor rgb="FFFFFBEA"/>
      <rgbColor rgb="FFEAF7ED"/>
      <rgbColor rgb="FF660066"/>
      <rgbColor rgb="FFFF8080"/>
      <rgbColor rgb="FF1D4ED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D9E2EC"/>
      <rgbColor rgb="FFFFF7E6"/>
      <rgbColor rgb="FFF5F7FA"/>
      <rgbColor rgb="FFFF99CC"/>
      <rgbColor rgb="FFCC99FF"/>
      <rgbColor rgb="FFFDECEC"/>
      <rgbColor rgb="FF3366FF"/>
      <rgbColor rgb="FF33CCCC"/>
      <rgbColor rgb="FF99CC00"/>
      <rgbColor rgb="FFFFCC00"/>
      <rgbColor rgb="FFF59E0B"/>
      <rgbColor rgb="FFD97706"/>
      <rgbColor rgb="FF627D98"/>
      <rgbColor rgb="FF969696"/>
      <rgbColor rgb="FF102A43"/>
      <rgbColor rgb="FF339966"/>
      <rgbColor rgb="FF003300"/>
      <rgbColor rgb="FF333300"/>
      <rgbColor rgb="FF92400E"/>
      <rgbColor rgb="FF993366"/>
      <rgbColor rgb="FF486581"/>
      <rgbColor rgb="FF243B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9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候选项目加权总分（0–100）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"总分"</c:f>
              <c:strCache>
                <c:ptCount val="1"/>
                <c:pt idx="0">
                  <c:v>总分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决策面板!$B$8:$B$17</c:f>
              <c:strCache>
                <c:ptCount val="10"/>
                <c:pt idx="0">
                  <c:v>示例｜港口多模态异常值守</c:v>
                </c:pt>
                <c:pt idx="1">
                  <c:v>示例｜海事事故证据复盘助手</c:v>
                </c:pt>
                <c:pt idx="2">
                  <c:v>示例｜船员疲劳与跌倒预警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决策面板!$C$8:$C$17</c:f>
              <c:numCache>
                <c:formatCode>0.0</c:formatCode>
                <c:ptCount val="10"/>
                <c:pt idx="0">
                  <c:v>76.4</c:v>
                </c:pt>
                <c:pt idx="1">
                  <c:v>71.8</c:v>
                </c:pt>
                <c:pt idx="2">
                  <c:v>69.8</c:v>
                </c:pt>
              </c:numCache>
            </c:numRef>
          </c:val>
        </c:ser>
        <c:gapWidth val="150"/>
        <c:overlap val="0"/>
        <c:axId val="51829438"/>
        <c:axId val="23831367"/>
      </c:barChart>
      <c:catAx>
        <c:axId val="5182943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3831367"/>
        <c:crosses val="autoZero"/>
        <c:auto val="1"/>
        <c:lblAlgn val="ctr"/>
        <c:lblOffset val="100"/>
        <c:noMultiLvlLbl val="0"/>
      </c:catAx>
      <c:valAx>
        <c:axId val="23831367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18294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6</xdr:row>
      <xdr:rowOff>0</xdr:rowOff>
    </xdr:from>
    <xdr:to>
      <xdr:col>16</xdr:col>
      <xdr:colOff>210960</xdr:colOff>
      <xdr:row>21</xdr:row>
      <xdr:rowOff>352080</xdr:rowOff>
    </xdr:to>
    <xdr:graphicFrame>
      <xdr:nvGraphicFramePr>
        <xdr:cNvPr id="1" name="Chart 1"/>
        <xdr:cNvGraphicFramePr/>
      </xdr:nvGraphicFramePr>
      <xdr:xfrm>
        <a:off x="10079280" y="1809720"/>
        <a:ext cx="5497560" cy="617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1"/>
    <col collapsed="false" customWidth="true" hidden="false" outlineLevel="0" max="3" min="3" style="0" width="22"/>
    <col collapsed="false" customWidth="true" hidden="false" outlineLevel="0" max="4" min="4" style="0" width="35"/>
    <col collapsed="false" customWidth="true" hidden="false" outlineLevel="0" max="5" min="5" style="0" width="3"/>
    <col collapsed="false" customWidth="true" hidden="false" outlineLevel="0" max="8" min="6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1.5" hidden="false" customHeight="true" outlineLevel="0" collapsed="false">
      <c r="A5" s="4" t="s">
        <v>3</v>
      </c>
      <c r="B5" s="5" t="s">
        <v>4</v>
      </c>
      <c r="C5" s="5" t="s">
        <v>5</v>
      </c>
      <c r="D5" s="6" t="s">
        <v>6</v>
      </c>
    </row>
    <row r="6" customFormat="false" ht="26.75" hidden="false" customHeight="false" outlineLevel="0" collapsed="false">
      <c r="A6" s="7" t="s">
        <v>7</v>
      </c>
      <c r="B6" s="8" t="s">
        <v>8</v>
      </c>
      <c r="C6" s="8" t="s">
        <v>9</v>
      </c>
      <c r="D6" s="8" t="s">
        <v>10</v>
      </c>
    </row>
    <row r="7" customFormat="false" ht="26.75" hidden="false" customHeight="false" outlineLevel="0" collapsed="false">
      <c r="A7" s="9" t="s">
        <v>11</v>
      </c>
      <c r="B7" s="10" t="s">
        <v>12</v>
      </c>
      <c r="C7" s="9" t="s">
        <v>13</v>
      </c>
      <c r="D7" s="10" t="s">
        <v>14</v>
      </c>
    </row>
    <row r="8" customFormat="false" ht="26.75" hidden="false" customHeight="false" outlineLevel="0" collapsed="false">
      <c r="A8" s="11" t="s">
        <v>15</v>
      </c>
      <c r="B8" s="12" t="s">
        <v>16</v>
      </c>
      <c r="C8" s="12" t="s">
        <v>17</v>
      </c>
      <c r="D8" s="11" t="s">
        <v>18</v>
      </c>
    </row>
    <row r="10" customFormat="false" ht="24" hidden="false" customHeight="true" outlineLevel="0" collapsed="false">
      <c r="A10" s="3" t="s">
        <v>19</v>
      </c>
      <c r="B10" s="3"/>
      <c r="C10" s="3"/>
      <c r="D10" s="3"/>
      <c r="E10" s="3"/>
      <c r="F10" s="3"/>
      <c r="G10" s="3"/>
      <c r="H10" s="3"/>
    </row>
    <row r="11" customFormat="false" ht="27.75" hidden="false" customHeight="true" outlineLevel="0" collapsed="false">
      <c r="A11" s="13" t="n">
        <v>1</v>
      </c>
      <c r="B11" s="14" t="s">
        <v>20</v>
      </c>
      <c r="C11" s="14"/>
      <c r="D11" s="14"/>
      <c r="E11" s="14"/>
      <c r="F11" s="14"/>
      <c r="G11" s="14"/>
      <c r="H11" s="14"/>
    </row>
    <row r="12" customFormat="false" ht="27.75" hidden="false" customHeight="true" outlineLevel="0" collapsed="false">
      <c r="A12" s="13" t="n">
        <v>2</v>
      </c>
      <c r="B12" s="14" t="s">
        <v>21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A13" s="13" t="n">
        <v>3</v>
      </c>
      <c r="B13" s="14" t="s">
        <v>22</v>
      </c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3" t="n">
        <v>4</v>
      </c>
      <c r="B14" s="14" t="s">
        <v>23</v>
      </c>
      <c r="C14" s="14"/>
      <c r="D14" s="14"/>
      <c r="E14" s="14"/>
      <c r="F14" s="14"/>
      <c r="G14" s="14"/>
      <c r="H14" s="14"/>
    </row>
    <row r="15" customFormat="false" ht="27.75" hidden="false" customHeight="true" outlineLevel="0" collapsed="false">
      <c r="A15" s="13" t="n">
        <v>5</v>
      </c>
      <c r="B15" s="14" t="s">
        <v>24</v>
      </c>
      <c r="C15" s="14"/>
      <c r="D15" s="14"/>
      <c r="E15" s="14"/>
      <c r="F15" s="14"/>
      <c r="G15" s="14"/>
      <c r="H15" s="14"/>
    </row>
    <row r="16" customFormat="false" ht="27.75" hidden="false" customHeight="true" outlineLevel="0" collapsed="false">
      <c r="A16" s="13" t="n">
        <v>6</v>
      </c>
      <c r="B16" s="15" t="s">
        <v>25</v>
      </c>
      <c r="C16" s="15"/>
      <c r="D16" s="15"/>
      <c r="E16" s="15"/>
      <c r="F16" s="15"/>
      <c r="G16" s="15"/>
      <c r="H16" s="15"/>
    </row>
    <row r="18" customFormat="false" ht="24" hidden="false" customHeight="true" outlineLevel="0" collapsed="false">
      <c r="A18" s="3" t="s">
        <v>26</v>
      </c>
      <c r="B18" s="3"/>
      <c r="C18" s="3"/>
      <c r="D18" s="3"/>
      <c r="E18" s="3"/>
      <c r="F18" s="3"/>
      <c r="G18" s="3"/>
      <c r="H18" s="3"/>
    </row>
    <row r="19" customFormat="false" ht="31.5" hidden="false" customHeight="true" outlineLevel="0" collapsed="false">
      <c r="A19" s="4" t="s">
        <v>27</v>
      </c>
      <c r="B19" s="5" t="s">
        <v>28</v>
      </c>
      <c r="C19" s="5" t="s">
        <v>29</v>
      </c>
      <c r="D19" s="6" t="s">
        <v>30</v>
      </c>
      <c r="F19" s="4" t="s">
        <v>31</v>
      </c>
      <c r="G19" s="4"/>
      <c r="H19" s="4"/>
    </row>
    <row r="20" customFormat="false" ht="16.05" hidden="false" customHeight="true" outlineLevel="0" collapsed="false">
      <c r="A20" s="16" t="n">
        <v>0</v>
      </c>
      <c r="B20" s="8" t="s">
        <v>32</v>
      </c>
      <c r="C20" s="8" t="s">
        <v>33</v>
      </c>
      <c r="D20" s="8" t="s">
        <v>34</v>
      </c>
      <c r="F20" s="17" t="s">
        <v>35</v>
      </c>
      <c r="G20" s="17"/>
      <c r="H20" s="17"/>
    </row>
    <row r="21" customFormat="false" ht="30.35" hidden="false" customHeight="true" outlineLevel="0" collapsed="false">
      <c r="A21" s="18" t="n">
        <v>1</v>
      </c>
      <c r="B21" s="10" t="s">
        <v>36</v>
      </c>
      <c r="C21" s="10" t="s">
        <v>37</v>
      </c>
      <c r="D21" s="10" t="s">
        <v>38</v>
      </c>
      <c r="F21" s="17" t="s">
        <v>39</v>
      </c>
      <c r="G21" s="17"/>
      <c r="H21" s="17"/>
    </row>
    <row r="22" customFormat="false" ht="16.05" hidden="false" customHeight="true" outlineLevel="0" collapsed="false">
      <c r="A22" s="18" t="n">
        <v>2</v>
      </c>
      <c r="B22" s="10" t="s">
        <v>40</v>
      </c>
      <c r="C22" s="10" t="s">
        <v>41</v>
      </c>
      <c r="D22" s="10" t="s">
        <v>42</v>
      </c>
      <c r="F22" s="17" t="s">
        <v>43</v>
      </c>
      <c r="G22" s="17"/>
      <c r="H22" s="17"/>
    </row>
    <row r="23" customFormat="false" ht="16.05" hidden="false" customHeight="true" outlineLevel="0" collapsed="false">
      <c r="A23" s="18" t="n">
        <v>3</v>
      </c>
      <c r="B23" s="10" t="s">
        <v>44</v>
      </c>
      <c r="C23" s="10" t="s">
        <v>45</v>
      </c>
      <c r="D23" s="10" t="s">
        <v>46</v>
      </c>
      <c r="F23" s="17" t="s">
        <v>47</v>
      </c>
      <c r="G23" s="17"/>
      <c r="H23" s="17"/>
    </row>
    <row r="24" customFormat="false" ht="30.35" hidden="false" customHeight="true" outlineLevel="0" collapsed="false">
      <c r="A24" s="18" t="n">
        <v>4</v>
      </c>
      <c r="B24" s="10" t="s">
        <v>48</v>
      </c>
      <c r="C24" s="10" t="s">
        <v>49</v>
      </c>
      <c r="D24" s="10" t="s">
        <v>50</v>
      </c>
      <c r="F24" s="19" t="s">
        <v>51</v>
      </c>
      <c r="G24" s="19"/>
      <c r="H24" s="19"/>
    </row>
    <row r="25" customFormat="false" ht="15" hidden="false" customHeight="false" outlineLevel="0" collapsed="false">
      <c r="A25" s="20" t="n">
        <v>5</v>
      </c>
      <c r="B25" s="12" t="s">
        <v>52</v>
      </c>
      <c r="C25" s="12" t="s">
        <v>53</v>
      </c>
      <c r="D25" s="12" t="s">
        <v>54</v>
      </c>
    </row>
    <row r="27" customFormat="false" ht="15" hidden="false" customHeight="true" outlineLevel="0" collapsed="false">
      <c r="A27" s="21" t="s">
        <v>55</v>
      </c>
      <c r="B27" s="21"/>
      <c r="C27" s="21"/>
      <c r="D27" s="21"/>
      <c r="E27" s="21"/>
      <c r="F27" s="21"/>
      <c r="G27" s="21"/>
      <c r="H27" s="21"/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</row>
  </sheetData>
  <mergeCells count="18">
    <mergeCell ref="A1:H1"/>
    <mergeCell ref="A2:H2"/>
    <mergeCell ref="A4:H4"/>
    <mergeCell ref="A10:H10"/>
    <mergeCell ref="B11:H11"/>
    <mergeCell ref="B12:H12"/>
    <mergeCell ref="B13:H13"/>
    <mergeCell ref="B14:H14"/>
    <mergeCell ref="B15:H15"/>
    <mergeCell ref="B16:H16"/>
    <mergeCell ref="A18:H18"/>
    <mergeCell ref="F19:H19"/>
    <mergeCell ref="F20:H20"/>
    <mergeCell ref="F21:H21"/>
    <mergeCell ref="F22:H22"/>
    <mergeCell ref="F23:H23"/>
    <mergeCell ref="F24:H24"/>
    <mergeCell ref="A27:H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31"/>
    <col collapsed="false" customWidth="true" hidden="false" outlineLevel="0" max="9" min="6" style="0" width="29"/>
    <col collapsed="false" customWidth="true" hidden="false" outlineLevel="0" max="10" min="10" style="0" width="3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27"/>
  </cols>
  <sheetData>
    <row r="1" customFormat="false" ht="33.75" hidden="false" customHeight="true" outlineLevel="0" collapsed="false">
      <c r="A1" s="22" t="s">
        <v>56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customFormat="false" ht="30" hidden="false" customHeight="true" outlineLevel="0" collapsed="false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23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24" t="s">
        <v>63</v>
      </c>
      <c r="G4" s="24" t="s">
        <v>64</v>
      </c>
      <c r="H4" s="24" t="s">
        <v>65</v>
      </c>
      <c r="I4" s="6" t="s">
        <v>66</v>
      </c>
      <c r="K4" s="4" t="s">
        <v>67</v>
      </c>
      <c r="L4" s="6" t="s">
        <v>68</v>
      </c>
    </row>
    <row r="5" customFormat="false" ht="57.75" hidden="false" customHeight="true" outlineLevel="0" collapsed="false">
      <c r="A5" s="7" t="s">
        <v>69</v>
      </c>
      <c r="B5" s="8" t="s">
        <v>70</v>
      </c>
      <c r="C5" s="8" t="s">
        <v>71</v>
      </c>
      <c r="D5" s="25" t="n">
        <v>10</v>
      </c>
      <c r="E5" s="8" t="s">
        <v>72</v>
      </c>
      <c r="F5" s="8" t="s">
        <v>73</v>
      </c>
      <c r="G5" s="8" t="s">
        <v>74</v>
      </c>
      <c r="H5" s="8" t="s">
        <v>75</v>
      </c>
      <c r="I5" s="8" t="s">
        <v>76</v>
      </c>
      <c r="K5" s="8" t="s">
        <v>77</v>
      </c>
      <c r="L5" s="26" t="n">
        <v>0</v>
      </c>
    </row>
    <row r="6" customFormat="false" ht="57.75" hidden="false" customHeight="true" outlineLevel="0" collapsed="false">
      <c r="A6" s="9" t="s">
        <v>78</v>
      </c>
      <c r="B6" s="10" t="s">
        <v>70</v>
      </c>
      <c r="C6" s="10" t="s">
        <v>79</v>
      </c>
      <c r="D6" s="27" t="n">
        <v>10</v>
      </c>
      <c r="E6" s="10" t="s">
        <v>80</v>
      </c>
      <c r="F6" s="10" t="s">
        <v>81</v>
      </c>
      <c r="G6" s="10" t="s">
        <v>82</v>
      </c>
      <c r="H6" s="9" t="s">
        <v>83</v>
      </c>
      <c r="I6" s="10" t="s">
        <v>84</v>
      </c>
      <c r="K6" s="10" t="s">
        <v>85</v>
      </c>
      <c r="L6" s="28" t="n">
        <v>0.25</v>
      </c>
    </row>
    <row r="7" customFormat="false" ht="57.75" hidden="false" customHeight="true" outlineLevel="0" collapsed="false">
      <c r="A7" s="9" t="s">
        <v>86</v>
      </c>
      <c r="B7" s="10" t="s">
        <v>87</v>
      </c>
      <c r="C7" s="10" t="s">
        <v>88</v>
      </c>
      <c r="D7" s="27" t="n">
        <v>8</v>
      </c>
      <c r="E7" s="10" t="s">
        <v>89</v>
      </c>
      <c r="F7" s="10" t="s">
        <v>90</v>
      </c>
      <c r="G7" s="10" t="s">
        <v>91</v>
      </c>
      <c r="H7" s="10" t="s">
        <v>92</v>
      </c>
      <c r="I7" s="10" t="s">
        <v>93</v>
      </c>
      <c r="K7" s="10" t="s">
        <v>94</v>
      </c>
      <c r="L7" s="28" t="n">
        <v>0.6</v>
      </c>
    </row>
    <row r="8" customFormat="false" ht="57.75" hidden="false" customHeight="true" outlineLevel="0" collapsed="false">
      <c r="A8" s="9" t="s">
        <v>95</v>
      </c>
      <c r="B8" s="10" t="s">
        <v>87</v>
      </c>
      <c r="C8" s="10" t="s">
        <v>96</v>
      </c>
      <c r="D8" s="27" t="n">
        <v>7</v>
      </c>
      <c r="E8" s="10" t="s">
        <v>97</v>
      </c>
      <c r="F8" s="10" t="s">
        <v>98</v>
      </c>
      <c r="G8" s="10" t="s">
        <v>99</v>
      </c>
      <c r="H8" s="10" t="s">
        <v>100</v>
      </c>
      <c r="I8" s="10" t="s">
        <v>101</v>
      </c>
      <c r="K8" s="12" t="s">
        <v>102</v>
      </c>
      <c r="L8" s="29" t="n">
        <v>1</v>
      </c>
    </row>
    <row r="9" customFormat="false" ht="57.75" hidden="false" customHeight="true" outlineLevel="0" collapsed="false">
      <c r="A9" s="9" t="s">
        <v>103</v>
      </c>
      <c r="B9" s="9" t="s">
        <v>104</v>
      </c>
      <c r="C9" s="9" t="s">
        <v>105</v>
      </c>
      <c r="D9" s="27" t="n">
        <v>8</v>
      </c>
      <c r="E9" s="10" t="s">
        <v>106</v>
      </c>
      <c r="F9" s="10" t="s">
        <v>107</v>
      </c>
      <c r="G9" s="9" t="s">
        <v>108</v>
      </c>
      <c r="H9" s="10" t="s">
        <v>109</v>
      </c>
      <c r="I9" s="10" t="s">
        <v>110</v>
      </c>
    </row>
    <row r="10" customFormat="false" ht="57.75" hidden="false" customHeight="true" outlineLevel="0" collapsed="false">
      <c r="A10" s="9" t="s">
        <v>111</v>
      </c>
      <c r="B10" s="9" t="s">
        <v>104</v>
      </c>
      <c r="C10" s="10" t="s">
        <v>112</v>
      </c>
      <c r="D10" s="27" t="n">
        <v>7</v>
      </c>
      <c r="E10" s="10" t="s">
        <v>113</v>
      </c>
      <c r="F10" s="10" t="s">
        <v>114</v>
      </c>
      <c r="G10" s="10" t="s">
        <v>115</v>
      </c>
      <c r="H10" s="10" t="s">
        <v>116</v>
      </c>
      <c r="I10" s="10" t="s">
        <v>117</v>
      </c>
    </row>
    <row r="11" customFormat="false" ht="57.75" hidden="false" customHeight="true" outlineLevel="0" collapsed="false">
      <c r="A11" s="9" t="s">
        <v>118</v>
      </c>
      <c r="B11" s="10" t="s">
        <v>119</v>
      </c>
      <c r="C11" s="10" t="s">
        <v>120</v>
      </c>
      <c r="D11" s="27" t="n">
        <v>8</v>
      </c>
      <c r="E11" s="10" t="s">
        <v>121</v>
      </c>
      <c r="F11" s="10" t="s">
        <v>122</v>
      </c>
      <c r="G11" s="9" t="s">
        <v>123</v>
      </c>
      <c r="H11" s="9" t="s">
        <v>124</v>
      </c>
      <c r="I11" s="10" t="s">
        <v>125</v>
      </c>
      <c r="K11" s="4" t="s">
        <v>126</v>
      </c>
      <c r="L11" s="6" t="s">
        <v>127</v>
      </c>
    </row>
    <row r="12" customFormat="false" ht="57.75" hidden="false" customHeight="true" outlineLevel="0" collapsed="false">
      <c r="A12" s="9" t="s">
        <v>128</v>
      </c>
      <c r="B12" s="10" t="s">
        <v>119</v>
      </c>
      <c r="C12" s="10" t="s">
        <v>129</v>
      </c>
      <c r="D12" s="27" t="n">
        <v>7</v>
      </c>
      <c r="E12" s="10" t="s">
        <v>130</v>
      </c>
      <c r="F12" s="10" t="s">
        <v>131</v>
      </c>
      <c r="G12" s="10" t="s">
        <v>132</v>
      </c>
      <c r="H12" s="10" t="s">
        <v>133</v>
      </c>
      <c r="I12" s="10" t="s">
        <v>134</v>
      </c>
      <c r="K12" s="8" t="s">
        <v>135</v>
      </c>
      <c r="L12" s="25" t="n">
        <v>80</v>
      </c>
    </row>
    <row r="13" customFormat="false" ht="57.75" hidden="false" customHeight="true" outlineLevel="0" collapsed="false">
      <c r="A13" s="9" t="s">
        <v>136</v>
      </c>
      <c r="B13" s="10" t="s">
        <v>137</v>
      </c>
      <c r="C13" s="10" t="s">
        <v>138</v>
      </c>
      <c r="D13" s="27" t="n">
        <v>10</v>
      </c>
      <c r="E13" s="10" t="s">
        <v>139</v>
      </c>
      <c r="F13" s="10" t="s">
        <v>140</v>
      </c>
      <c r="G13" s="10" t="s">
        <v>141</v>
      </c>
      <c r="H13" s="10" t="s">
        <v>142</v>
      </c>
      <c r="I13" s="10" t="s">
        <v>143</v>
      </c>
      <c r="K13" s="10" t="s">
        <v>144</v>
      </c>
      <c r="L13" s="28" t="n">
        <v>0.7</v>
      </c>
    </row>
    <row r="14" customFormat="false" ht="57.75" hidden="false" customHeight="true" outlineLevel="0" collapsed="false">
      <c r="A14" s="9" t="s">
        <v>145</v>
      </c>
      <c r="B14" s="10" t="s">
        <v>137</v>
      </c>
      <c r="C14" s="10" t="s">
        <v>146</v>
      </c>
      <c r="D14" s="27" t="n">
        <v>10</v>
      </c>
      <c r="E14" s="10" t="s">
        <v>147</v>
      </c>
      <c r="F14" s="10" t="s">
        <v>148</v>
      </c>
      <c r="G14" s="10" t="s">
        <v>149</v>
      </c>
      <c r="H14" s="10" t="s">
        <v>150</v>
      </c>
      <c r="I14" s="10" t="s">
        <v>151</v>
      </c>
      <c r="K14" s="10" t="s">
        <v>152</v>
      </c>
      <c r="L14" s="27" t="n">
        <v>70</v>
      </c>
      <c r="M14" s="30" t="s">
        <v>153</v>
      </c>
    </row>
    <row r="15" customFormat="false" ht="57.75" hidden="false" customHeight="true" outlineLevel="0" collapsed="false">
      <c r="A15" s="9" t="s">
        <v>154</v>
      </c>
      <c r="B15" s="10" t="s">
        <v>155</v>
      </c>
      <c r="C15" s="10" t="s">
        <v>156</v>
      </c>
      <c r="D15" s="27" t="n">
        <v>8</v>
      </c>
      <c r="E15" s="10" t="s">
        <v>157</v>
      </c>
      <c r="F15" s="10" t="s">
        <v>158</v>
      </c>
      <c r="G15" s="9" t="s">
        <v>159</v>
      </c>
      <c r="H15" s="9" t="s">
        <v>160</v>
      </c>
      <c r="I15" s="10" t="s">
        <v>161</v>
      </c>
      <c r="K15" s="10" t="s">
        <v>162</v>
      </c>
      <c r="L15" s="9" t="n">
        <v>60</v>
      </c>
      <c r="M15" s="30" t="s">
        <v>163</v>
      </c>
    </row>
    <row r="16" customFormat="false" ht="57.75" hidden="false" customHeight="true" outlineLevel="0" collapsed="false">
      <c r="A16" s="11" t="s">
        <v>164</v>
      </c>
      <c r="B16" s="12" t="s">
        <v>155</v>
      </c>
      <c r="C16" s="12" t="s">
        <v>165</v>
      </c>
      <c r="D16" s="31" t="n">
        <v>7</v>
      </c>
      <c r="E16" s="11" t="s">
        <v>166</v>
      </c>
      <c r="F16" s="12" t="s">
        <v>167</v>
      </c>
      <c r="G16" s="12" t="s">
        <v>168</v>
      </c>
      <c r="H16" s="12" t="s">
        <v>169</v>
      </c>
      <c r="I16" s="11" t="s">
        <v>170</v>
      </c>
      <c r="K16" s="10" t="s">
        <v>171</v>
      </c>
      <c r="L16" s="27" t="n">
        <v>60</v>
      </c>
    </row>
    <row r="17" customFormat="false" ht="16.05" hidden="false" customHeight="false" outlineLevel="0" collapsed="false">
      <c r="A17" s="32" t="s">
        <v>172</v>
      </c>
      <c r="B17" s="32"/>
      <c r="C17" s="32"/>
      <c r="D17" s="33" t="n">
        <f aca="false">SUM(D5:D16)</f>
        <v>100</v>
      </c>
      <c r="K17" s="12" t="s">
        <v>173</v>
      </c>
      <c r="L17" s="29" t="n">
        <v>1</v>
      </c>
    </row>
    <row r="20" customFormat="false" ht="31.5" hidden="false" customHeight="true" outlineLevel="0" collapsed="false">
      <c r="K20" s="23" t="s">
        <v>174</v>
      </c>
      <c r="L20" s="23"/>
      <c r="M20" s="23"/>
      <c r="N20" s="23"/>
    </row>
    <row r="21" customFormat="false" ht="15" hidden="false" customHeight="false" outlineLevel="0" collapsed="false">
      <c r="K21" s="7" t="s">
        <v>175</v>
      </c>
      <c r="L21" s="8" t="s">
        <v>176</v>
      </c>
      <c r="M21" s="8" t="s">
        <v>177</v>
      </c>
      <c r="N21" s="8" t="s">
        <v>178</v>
      </c>
    </row>
    <row r="22" customFormat="false" ht="15" hidden="false" customHeight="false" outlineLevel="0" collapsed="false">
      <c r="K22" s="9" t="s">
        <v>179</v>
      </c>
      <c r="L22" s="10" t="s">
        <v>180</v>
      </c>
      <c r="M22" s="10" t="s">
        <v>181</v>
      </c>
      <c r="N22" s="10" t="s">
        <v>182</v>
      </c>
    </row>
    <row r="23" customFormat="false" ht="26.75" hidden="false" customHeight="false" outlineLevel="0" collapsed="false">
      <c r="K23" s="9" t="s">
        <v>183</v>
      </c>
      <c r="L23" s="10" t="s">
        <v>184</v>
      </c>
      <c r="M23" s="10" t="s">
        <v>185</v>
      </c>
      <c r="N23" s="10" t="s">
        <v>186</v>
      </c>
    </row>
    <row r="24" customFormat="false" ht="26.75" hidden="false" customHeight="false" outlineLevel="0" collapsed="false">
      <c r="K24" s="9" t="s">
        <v>187</v>
      </c>
      <c r="L24" s="10" t="s">
        <v>188</v>
      </c>
      <c r="M24" s="10" t="s">
        <v>189</v>
      </c>
      <c r="N24" s="10" t="s">
        <v>190</v>
      </c>
    </row>
    <row r="25" customFormat="false" ht="26.75" hidden="false" customHeight="false" outlineLevel="0" collapsed="false">
      <c r="K25" s="9" t="s">
        <v>191</v>
      </c>
      <c r="L25" s="9" t="s">
        <v>192</v>
      </c>
      <c r="M25" s="9" t="s">
        <v>193</v>
      </c>
      <c r="N25" s="10" t="s">
        <v>194</v>
      </c>
    </row>
    <row r="26" customFormat="false" ht="26.75" hidden="false" customHeight="false" outlineLevel="0" collapsed="false">
      <c r="K26" s="11" t="s">
        <v>195</v>
      </c>
      <c r="L26" s="12" t="s">
        <v>196</v>
      </c>
      <c r="M26" s="12" t="s">
        <v>197</v>
      </c>
      <c r="N26" s="12" t="s">
        <v>198</v>
      </c>
    </row>
  </sheetData>
  <mergeCells count="4">
    <mergeCell ref="A1:N1"/>
    <mergeCell ref="A2:N2"/>
    <mergeCell ref="A17:C17"/>
    <mergeCell ref="K20:N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18"/>
    <col collapsed="false" customWidth="true" hidden="false" outlineLevel="0" max="5" min="5" style="0" width="19"/>
    <col collapsed="false" customWidth="true" hidden="false" outlineLevel="0" max="6" min="6" style="0" width="21"/>
    <col collapsed="false" customWidth="true" hidden="false" outlineLevel="0" max="7" min="7" style="0" width="27"/>
    <col collapsed="false" customWidth="true" hidden="false" outlineLevel="0" max="8" min="8" style="0" width="30"/>
    <col collapsed="false" customWidth="true" hidden="false" outlineLevel="0" max="9" min="9" style="0" width="32"/>
    <col collapsed="false" customWidth="true" hidden="false" outlineLevel="0" max="10" min="10" style="0" width="30"/>
    <col collapsed="false" customWidth="true" hidden="false" outlineLevel="0" max="17" min="11" style="0" width="12"/>
    <col collapsed="false" customWidth="true" hidden="false" outlineLevel="0" max="23" min="18" style="0" width="11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8"/>
    <col collapsed="false" customWidth="true" hidden="false" outlineLevel="0" max="29" min="29" style="0" width="15"/>
    <col collapsed="false" customWidth="true" hidden="false" outlineLevel="0" max="30" min="30" style="0" width="32"/>
  </cols>
  <sheetData>
    <row r="1" customFormat="false" ht="33.75" hidden="false" customHeight="true" outlineLevel="0" collapsed="false">
      <c r="A1" s="22" t="s">
        <v>199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</row>
    <row r="2" customFormat="false" ht="30" hidden="false" customHeight="true" outlineLevel="0" collapsed="false">
      <c r="A2" s="2" t="s">
        <v>200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4" customFormat="false" ht="31.5" hidden="false" customHeight="true" outlineLevel="0" collapsed="false">
      <c r="A4" s="4" t="s">
        <v>201</v>
      </c>
      <c r="B4" s="5" t="s">
        <v>202</v>
      </c>
      <c r="C4" s="5" t="s">
        <v>203</v>
      </c>
      <c r="D4" s="5" t="s">
        <v>204</v>
      </c>
      <c r="E4" s="5" t="s">
        <v>205</v>
      </c>
      <c r="F4" s="5" t="s">
        <v>206</v>
      </c>
      <c r="G4" s="5" t="s">
        <v>207</v>
      </c>
      <c r="H4" s="5" t="s">
        <v>208</v>
      </c>
      <c r="I4" s="5" t="s">
        <v>209</v>
      </c>
      <c r="J4" s="24" t="s">
        <v>210</v>
      </c>
      <c r="K4" s="24" t="s">
        <v>211</v>
      </c>
      <c r="L4" s="24" t="s">
        <v>212</v>
      </c>
      <c r="M4" s="24" t="s">
        <v>213</v>
      </c>
      <c r="N4" s="24" t="s">
        <v>214</v>
      </c>
      <c r="O4" s="24" t="s">
        <v>215</v>
      </c>
      <c r="P4" s="24" t="s">
        <v>216</v>
      </c>
      <c r="Q4" s="5" t="s">
        <v>217</v>
      </c>
      <c r="R4" s="5" t="s">
        <v>218</v>
      </c>
      <c r="S4" s="5" t="s">
        <v>219</v>
      </c>
      <c r="T4" s="24" t="s">
        <v>220</v>
      </c>
      <c r="U4" s="5" t="s">
        <v>221</v>
      </c>
      <c r="V4" s="5" t="s">
        <v>222</v>
      </c>
      <c r="W4" s="5" t="s">
        <v>223</v>
      </c>
      <c r="X4" s="5" t="s">
        <v>224</v>
      </c>
      <c r="Y4" s="5" t="s">
        <v>225</v>
      </c>
      <c r="Z4" s="5" t="s">
        <v>226</v>
      </c>
      <c r="AA4" s="5" t="s">
        <v>227</v>
      </c>
      <c r="AB4" s="5" t="s">
        <v>228</v>
      </c>
      <c r="AC4" s="5" t="s">
        <v>229</v>
      </c>
      <c r="AD4" s="6" t="s">
        <v>230</v>
      </c>
    </row>
    <row r="5" customFormat="false" ht="72" hidden="false" customHeight="true" outlineLevel="0" collapsed="false">
      <c r="A5" s="34" t="s">
        <v>231</v>
      </c>
      <c r="B5" s="35" t="s">
        <v>232</v>
      </c>
      <c r="C5" s="35" t="s">
        <v>233</v>
      </c>
      <c r="D5" s="35" t="s">
        <v>234</v>
      </c>
      <c r="E5" s="35" t="s">
        <v>235</v>
      </c>
      <c r="F5" s="35" t="s">
        <v>236</v>
      </c>
      <c r="G5" s="36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242</v>
      </c>
      <c r="N5" s="35" t="s">
        <v>242</v>
      </c>
      <c r="O5" s="35" t="s">
        <v>241</v>
      </c>
      <c r="P5" s="35" t="s">
        <v>242</v>
      </c>
      <c r="Q5" s="37" t="str">
        <f aca="false">IF(B5="","",IF(COUNTIF(K5:P5,"失败")&gt;0,"淘汰",IF(COUNTIF(K5:P5,"待验证")&gt;0,"待验证","通过")))</f>
        <v>待验证</v>
      </c>
      <c r="R5" s="38" t="n">
        <f aca="false">IF(B5="","",IFERROR(INDEX(会议评分!$O$5:$O$14,MATCH($A5,会议评分!$A$5:$A$14,0)),""))</f>
        <v>14</v>
      </c>
      <c r="S5" s="38" t="n">
        <f aca="false">IF(B5="","",IFERROR(INDEX(会议评分!$P$5:$P$14,MATCH($A5,会议评分!$A$5:$A$14,0)),""))</f>
        <v>10.6</v>
      </c>
      <c r="T5" s="38" t="n">
        <f aca="false">IF(B5="","",IFERROR(INDEX(会议评分!$Q$5:$Q$14,MATCH($A5,会议评分!$A$5:$A$14,0)),""))</f>
        <v>12.2</v>
      </c>
      <c r="U5" s="38" t="n">
        <f aca="false">IF(B5="","",IFERROR(INDEX(会议评分!$R$5:$R$14,MATCH($A5,会议评分!$A$5:$A$14,0)),""))</f>
        <v>15</v>
      </c>
      <c r="V5" s="38" t="n">
        <f aca="false">IF(B5="","",IFERROR(INDEX(会议评分!$S$5:$S$14,MATCH($A5,会议评分!$A$5:$A$14,0)),""))</f>
        <v>14</v>
      </c>
      <c r="W5" s="38" t="n">
        <f aca="false">IF(B5="","",IFERROR(INDEX(会议评分!$T$5:$T$14,MATCH($A5,会议评分!$A$5:$A$14,0)),""))</f>
        <v>10.6</v>
      </c>
      <c r="X5" s="38" t="n">
        <f aca="false">IF(B5="","",IFERROR(INDEX(会议评分!$U$5:$U$14,MATCH($A5,会议评分!$A$5:$A$14,0)),""))</f>
        <v>76.4</v>
      </c>
      <c r="Y5" s="39" t="n">
        <f aca="false">IF(B5="","",IFERROR(AVERAGEIF(证据索引!$A$5:$A$124,$A5,证据索引!$I$5:$I$124),0))</f>
        <v>0.454166666666667</v>
      </c>
      <c r="Z5" s="39" t="n">
        <f aca="false">IF(B5="","",IFERROR(INDEX(会议评分!$V$5:$V$14,MATCH($A5,会议评分!$A$5:$A$14,0)),0))</f>
        <v>1</v>
      </c>
      <c r="AA5" s="37" t="str">
        <f aca="false">IF(B5="","",IFERROR(INDEX(会议评分!$B$5:$B$14,MATCH($A5,会议评分!$A$5:$A$14,0)),"未评"))</f>
        <v>已达成共识</v>
      </c>
      <c r="AB5" s="40" t="n">
        <f aca="false">IF(B5="","",COUNTIF($X$5:$X$14,"&gt;"&amp;X5)+COUNTIF($X$5:X5,X5))</f>
        <v>1</v>
      </c>
      <c r="AC5" s="37" t="str">
        <f aca="false">IF(B5="","",IF(Q5="淘汰","淘汰",IF(Z5&gt;=参数与锚点!$L$17,IF(AA5="已达成共识",IF(Q5="待验证",IF(X5&gt;=参数与锚点!$L$15,"进入24h验证","放弃"),IF(AND(X5&gt;=参数与锚点!$L$12,Y5&gt;=参数与锚点!$L$13),"优先",IF(X5&gt;=参数与锚点!$L$14,"进入24h验证",IF(X5&gt;=参数与锚点!$L$16,"备选","放弃")))),"会议待完成"),"会议待完成")))</f>
        <v>进入24h验证</v>
      </c>
      <c r="AD5" s="37" t="s">
        <v>243</v>
      </c>
    </row>
    <row r="6" customFormat="false" ht="72" hidden="false" customHeight="true" outlineLevel="0" collapsed="false">
      <c r="A6" s="41" t="s">
        <v>244</v>
      </c>
      <c r="B6" s="42" t="s">
        <v>245</v>
      </c>
      <c r="C6" s="42" t="s">
        <v>246</v>
      </c>
      <c r="D6" s="42" t="s">
        <v>247</v>
      </c>
      <c r="E6" s="42" t="s">
        <v>248</v>
      </c>
      <c r="F6" s="42" t="s">
        <v>249</v>
      </c>
      <c r="G6" s="42" t="s">
        <v>250</v>
      </c>
      <c r="H6" s="42" t="s">
        <v>251</v>
      </c>
      <c r="I6" s="42" t="s">
        <v>252</v>
      </c>
      <c r="J6" s="42" t="s">
        <v>253</v>
      </c>
      <c r="K6" s="42" t="s">
        <v>241</v>
      </c>
      <c r="L6" s="42" t="s">
        <v>242</v>
      </c>
      <c r="M6" s="42" t="s">
        <v>242</v>
      </c>
      <c r="N6" s="42" t="s">
        <v>242</v>
      </c>
      <c r="O6" s="42" t="s">
        <v>241</v>
      </c>
      <c r="P6" s="42" t="s">
        <v>241</v>
      </c>
      <c r="Q6" s="43" t="str">
        <f aca="false">IF(B6="","",IF(COUNTIF(K6:P6,"失败")&gt;0,"淘汰",IF(COUNTIF(K6:P6,"待验证")&gt;0,"待验证","通过")))</f>
        <v>待验证</v>
      </c>
      <c r="R6" s="44" t="n">
        <f aca="false">IF(B6="","",IFERROR(INDEX(会议评分!$O$5:$O$14,MATCH($A6,会议评分!$A$5:$A$14,0)),""))</f>
        <v>14</v>
      </c>
      <c r="S6" s="44" t="n">
        <f aca="false">IF(B6="","",IFERROR(INDEX(会议评分!$P$5:$P$14,MATCH($A6,会议评分!$A$5:$A$14,0)),""))</f>
        <v>10.6</v>
      </c>
      <c r="T6" s="44" t="n">
        <f aca="false">IF(B6="","",IFERROR(INDEX(会议评分!$Q$5:$Q$14,MATCH($A6,会议评分!$A$5:$A$14,0)),""))</f>
        <v>10.6</v>
      </c>
      <c r="U6" s="44" t="n">
        <f aca="false">IF(B6="","",IFERROR(INDEX(会议评分!$R$5:$R$14,MATCH($A6,会议评分!$A$5:$A$14,0)),""))</f>
        <v>12</v>
      </c>
      <c r="V6" s="44" t="n">
        <f aca="false">IF(B6="","",IFERROR(INDEX(会议评分!$S$5:$S$14,MATCH($A6,会议评分!$A$5:$A$14,0)),""))</f>
        <v>12</v>
      </c>
      <c r="W6" s="44" t="n">
        <f aca="false">IF(B6="","",IFERROR(INDEX(会议评分!$T$5:$T$14,MATCH($A6,会议评分!$A$5:$A$14,0)),""))</f>
        <v>10.6</v>
      </c>
      <c r="X6" s="44" t="n">
        <f aca="false">IF(B6="","",IFERROR(INDEX(会议评分!$U$5:$U$14,MATCH($A6,会议评分!$A$5:$A$14,0)),""))</f>
        <v>69.8</v>
      </c>
      <c r="Y6" s="45" t="n">
        <f aca="false">IF(B6="","",IFERROR(AVERAGEIF(证据索引!$A$5:$A$124,$A6,证据索引!$I$5:$I$124),0))</f>
        <v>0.425</v>
      </c>
      <c r="Z6" s="45" t="n">
        <f aca="false">IF(B6="","",IFERROR(INDEX(会议评分!$V$5:$V$14,MATCH($A6,会议评分!$A$5:$A$14,0)),0))</f>
        <v>1</v>
      </c>
      <c r="AA6" s="43" t="str">
        <f aca="false">IF(B6="","",IFERROR(INDEX(会议评分!$B$5:$B$14,MATCH($A6,会议评分!$A$5:$A$14,0)),"未评"))</f>
        <v>已达成共识</v>
      </c>
      <c r="AB6" s="46" t="n">
        <f aca="false">IF(B6="","",COUNTIF($X$5:$X$14,"&gt;"&amp;X6)+COUNTIF($X$5:X6,X6))</f>
        <v>3</v>
      </c>
      <c r="AC6" s="43" t="str">
        <f aca="false">IF(B6="","",IF(Q6="淘汰","淘汰",IF(Z6&gt;=参数与锚点!$L$17,IF(AA6="已达成共识",IF(Q6="待验证",IF(X6&gt;=参数与锚点!$L$15,"进入24h验证","放弃"),IF(AND(X6&gt;=参数与锚点!$L$12,Y6&gt;=参数与锚点!$L$13),"优先",IF(X6&gt;=参数与锚点!$L$14,"进入24h验证",IF(X6&gt;=参数与锚点!$L$16,"备选","放弃")))),"会议待完成"),"会议待完成")))</f>
        <v>进入24h验证</v>
      </c>
      <c r="AD6" s="43" t="s">
        <v>254</v>
      </c>
    </row>
    <row r="7" customFormat="false" ht="72" hidden="false" customHeight="true" outlineLevel="0" collapsed="false">
      <c r="A7" s="41" t="s">
        <v>255</v>
      </c>
      <c r="B7" s="42" t="s">
        <v>256</v>
      </c>
      <c r="C7" s="42" t="s">
        <v>257</v>
      </c>
      <c r="D7" s="42" t="s">
        <v>258</v>
      </c>
      <c r="E7" s="42" t="s">
        <v>259</v>
      </c>
      <c r="F7" s="42" t="s">
        <v>260</v>
      </c>
      <c r="G7" s="42" t="s">
        <v>261</v>
      </c>
      <c r="H7" s="42" t="s">
        <v>262</v>
      </c>
      <c r="I7" s="42" t="s">
        <v>263</v>
      </c>
      <c r="J7" s="42" t="s">
        <v>264</v>
      </c>
      <c r="K7" s="42" t="s">
        <v>241</v>
      </c>
      <c r="L7" s="42" t="s">
        <v>242</v>
      </c>
      <c r="M7" s="42" t="s">
        <v>242</v>
      </c>
      <c r="N7" s="42" t="s">
        <v>242</v>
      </c>
      <c r="O7" s="42" t="s">
        <v>241</v>
      </c>
      <c r="P7" s="42" t="s">
        <v>242</v>
      </c>
      <c r="Q7" s="43" t="str">
        <f aca="false">IF(B7="","",IF(COUNTIF(K7:P7,"失败")&gt;0,"淘汰",IF(COUNTIF(K7:P7,"待验证")&gt;0,"待验证","通过")))</f>
        <v>待验证</v>
      </c>
      <c r="R7" s="44" t="n">
        <f aca="false">IF(B7="","",IFERROR(INDEX(会议评分!$O$5:$O$14,MATCH($A7,会议评分!$A$5:$A$14,0)),""))</f>
        <v>12</v>
      </c>
      <c r="S7" s="44" t="n">
        <f aca="false">IF(B7="","",IFERROR(INDEX(会议评分!$P$5:$P$14,MATCH($A7,会议评分!$A$5:$A$14,0)),""))</f>
        <v>10.6</v>
      </c>
      <c r="T7" s="44" t="n">
        <f aca="false">IF(B7="","",IFERROR(INDEX(会议评分!$Q$5:$Q$14,MATCH($A7,会议评分!$A$5:$A$14,0)),""))</f>
        <v>10.6</v>
      </c>
      <c r="U7" s="44" t="n">
        <f aca="false">IF(B7="","",IFERROR(INDEX(会议评分!$R$5:$R$14,MATCH($A7,会议评分!$A$5:$A$14,0)),""))</f>
        <v>12</v>
      </c>
      <c r="V7" s="44" t="n">
        <f aca="false">IF(B7="","",IFERROR(INDEX(会议评分!$S$5:$S$14,MATCH($A7,会议评分!$A$5:$A$14,0)),""))</f>
        <v>16</v>
      </c>
      <c r="W7" s="44" t="n">
        <f aca="false">IF(B7="","",IFERROR(INDEX(会议评分!$T$5:$T$14,MATCH($A7,会议评分!$A$5:$A$14,0)),""))</f>
        <v>10.6</v>
      </c>
      <c r="X7" s="44" t="n">
        <f aca="false">IF(B7="","",IFERROR(INDEX(会议评分!$U$5:$U$14,MATCH($A7,会议评分!$A$5:$A$14,0)),""))</f>
        <v>71.8</v>
      </c>
      <c r="Y7" s="45" t="n">
        <f aca="false">IF(B7="","",IFERROR(AVERAGEIF(证据索引!$A$5:$A$124,$A7,证据索引!$I$5:$I$124),0))</f>
        <v>0.5125</v>
      </c>
      <c r="Z7" s="45" t="n">
        <f aca="false">IF(B7="","",IFERROR(INDEX(会议评分!$V$5:$V$14,MATCH($A7,会议评分!$A$5:$A$14,0)),0))</f>
        <v>1</v>
      </c>
      <c r="AA7" s="43" t="str">
        <f aca="false">IF(B7="","",IFERROR(INDEX(会议评分!$B$5:$B$14,MATCH($A7,会议评分!$A$5:$A$14,0)),"未评"))</f>
        <v>已达成共识</v>
      </c>
      <c r="AB7" s="46" t="n">
        <f aca="false">IF(B7="","",COUNTIF($X$5:$X$14,"&gt;"&amp;X7)+COUNTIF($X$5:X7,X7))</f>
        <v>2</v>
      </c>
      <c r="AC7" s="43" t="str">
        <f aca="false">IF(B7="","",IF(Q7="淘汰","淘汰",IF(Z7&gt;=参数与锚点!$L$17,IF(AA7="已达成共识",IF(Q7="待验证",IF(X7&gt;=参数与锚点!$L$15,"进入24h验证","放弃"),IF(AND(X7&gt;=参数与锚点!$L$12,Y7&gt;=参数与锚点!$L$13),"优先",IF(X7&gt;=参数与锚点!$L$14,"进入24h验证",IF(X7&gt;=参数与锚点!$L$16,"备选","放弃")))),"会议待完成"),"会议待完成")))</f>
        <v>进入24h验证</v>
      </c>
      <c r="AD7" s="43" t="s">
        <v>265</v>
      </c>
    </row>
    <row r="8" customFormat="false" ht="72" hidden="false" customHeight="true" outlineLevel="0" collapsed="false">
      <c r="A8" s="41" t="s">
        <v>266</v>
      </c>
      <c r="B8" s="42"/>
      <c r="C8" s="42"/>
      <c r="D8" s="42"/>
      <c r="E8" s="42"/>
      <c r="F8" s="42"/>
      <c r="G8" s="42"/>
      <c r="H8" s="42"/>
      <c r="I8" s="42"/>
      <c r="J8" s="42"/>
      <c r="K8" s="42" t="s">
        <v>241</v>
      </c>
      <c r="L8" s="42" t="s">
        <v>241</v>
      </c>
      <c r="M8" s="42" t="s">
        <v>241</v>
      </c>
      <c r="N8" s="42" t="s">
        <v>241</v>
      </c>
      <c r="O8" s="42" t="s">
        <v>241</v>
      </c>
      <c r="P8" s="42" t="s">
        <v>241</v>
      </c>
      <c r="Q8" s="43" t="str">
        <f aca="false">IF(B8="","",IF(COUNTIF(K8:P8,"失败")&gt;0,"淘汰",IF(COUNTIF(K8:P8,"待验证")&gt;0,"待验证","通过")))</f>
        <v/>
      </c>
      <c r="R8" s="44" t="str">
        <f aca="false">IF(B8="","",IFERROR(INDEX(会议评分!$O$5:$O$14,MATCH($A8,会议评分!$A$5:$A$14,0)),""))</f>
        <v/>
      </c>
      <c r="S8" s="44" t="str">
        <f aca="false">IF(B8="","",IFERROR(INDEX(会议评分!$P$5:$P$14,MATCH($A8,会议评分!$A$5:$A$14,0)),""))</f>
        <v/>
      </c>
      <c r="T8" s="44" t="str">
        <f aca="false">IF(B8="","",IFERROR(INDEX(会议评分!$Q$5:$Q$14,MATCH($A8,会议评分!$A$5:$A$14,0)),""))</f>
        <v/>
      </c>
      <c r="U8" s="44" t="str">
        <f aca="false">IF(B8="","",IFERROR(INDEX(会议评分!$R$5:$R$14,MATCH($A8,会议评分!$A$5:$A$14,0)),""))</f>
        <v/>
      </c>
      <c r="V8" s="44" t="str">
        <f aca="false">IF(B8="","",IFERROR(INDEX(会议评分!$S$5:$S$14,MATCH($A8,会议评分!$A$5:$A$14,0)),""))</f>
        <v/>
      </c>
      <c r="W8" s="44" t="str">
        <f aca="false">IF(B8="","",IFERROR(INDEX(会议评分!$T$5:$T$14,MATCH($A8,会议评分!$A$5:$A$14,0)),""))</f>
        <v/>
      </c>
      <c r="X8" s="44" t="str">
        <f aca="false">IF(B8="","",IFERROR(INDEX(会议评分!$U$5:$U$14,MATCH($A8,会议评分!$A$5:$A$14,0)),""))</f>
        <v/>
      </c>
      <c r="Y8" s="45" t="str">
        <f aca="false">IF(B8="","",IFERROR(AVERAGEIF(证据索引!$A$5:$A$124,$A8,证据索引!$I$5:$I$124),0))</f>
        <v/>
      </c>
      <c r="Z8" s="45" t="str">
        <f aca="false">IF(B8="","",IFERROR(INDEX(会议评分!$V$5:$V$14,MATCH($A8,会议评分!$A$5:$A$14,0)),0))</f>
        <v/>
      </c>
      <c r="AA8" s="43" t="str">
        <f aca="false">IF(B8="","",IFERROR(INDEX(会议评分!$B$5:$B$14,MATCH($A8,会议评分!$A$5:$A$14,0)),"未评"))</f>
        <v/>
      </c>
      <c r="AB8" s="46" t="str">
        <f aca="false">IF(B8="","",COUNTIF($X$5:$X$14,"&gt;"&amp;X8)+COUNTIF($X$5:X8,X8))</f>
        <v/>
      </c>
      <c r="AC8" s="43" t="str">
        <f aca="false">IF(B8="","",IF(Q8="淘汰","淘汰",IF(Z8&gt;=参数与锚点!$L$17,IF(AA8="已达成共识",IF(Q8="待验证",IF(X8&gt;=参数与锚点!$L$15,"进入24h验证","放弃"),IF(AND(X8&gt;=参数与锚点!$L$12,Y8&gt;=参数与锚点!$L$13),"优先",IF(X8&gt;=参数与锚点!$L$14,"进入24h验证",IF(X8&gt;=参数与锚点!$L$16,"备选","放弃")))),"会议待完成"),"会议待完成")))</f>
        <v/>
      </c>
      <c r="AD8" s="43"/>
    </row>
    <row r="9" customFormat="false" ht="72" hidden="false" customHeight="true" outlineLevel="0" collapsed="false">
      <c r="A9" s="41" t="s">
        <v>267</v>
      </c>
      <c r="B9" s="42"/>
      <c r="C9" s="42"/>
      <c r="D9" s="42"/>
      <c r="E9" s="42"/>
      <c r="F9" s="42"/>
      <c r="G9" s="42"/>
      <c r="H9" s="42"/>
      <c r="I9" s="42"/>
      <c r="J9" s="42"/>
      <c r="K9" s="42" t="s">
        <v>241</v>
      </c>
      <c r="L9" s="42" t="s">
        <v>241</v>
      </c>
      <c r="M9" s="42" t="s">
        <v>241</v>
      </c>
      <c r="N9" s="42" t="s">
        <v>241</v>
      </c>
      <c r="O9" s="42" t="s">
        <v>241</v>
      </c>
      <c r="P9" s="42" t="s">
        <v>241</v>
      </c>
      <c r="Q9" s="43" t="str">
        <f aca="false">IF(B9="","",IF(COUNTIF(K9:P9,"失败")&gt;0,"淘汰",IF(COUNTIF(K9:P9,"待验证")&gt;0,"待验证","通过")))</f>
        <v/>
      </c>
      <c r="R9" s="44" t="str">
        <f aca="false">IF(B9="","",IFERROR(INDEX(会议评分!$O$5:$O$14,MATCH($A9,会议评分!$A$5:$A$14,0)),""))</f>
        <v/>
      </c>
      <c r="S9" s="44" t="str">
        <f aca="false">IF(B9="","",IFERROR(INDEX(会议评分!$P$5:$P$14,MATCH($A9,会议评分!$A$5:$A$14,0)),""))</f>
        <v/>
      </c>
      <c r="T9" s="44" t="str">
        <f aca="false">IF(B9="","",IFERROR(INDEX(会议评分!$Q$5:$Q$14,MATCH($A9,会议评分!$A$5:$A$14,0)),""))</f>
        <v/>
      </c>
      <c r="U9" s="44" t="str">
        <f aca="false">IF(B9="","",IFERROR(INDEX(会议评分!$R$5:$R$14,MATCH($A9,会议评分!$A$5:$A$14,0)),""))</f>
        <v/>
      </c>
      <c r="V9" s="44" t="str">
        <f aca="false">IF(B9="","",IFERROR(INDEX(会议评分!$S$5:$S$14,MATCH($A9,会议评分!$A$5:$A$14,0)),""))</f>
        <v/>
      </c>
      <c r="W9" s="44" t="str">
        <f aca="false">IF(B9="","",IFERROR(INDEX(会议评分!$T$5:$T$14,MATCH($A9,会议评分!$A$5:$A$14,0)),""))</f>
        <v/>
      </c>
      <c r="X9" s="44" t="str">
        <f aca="false">IF(B9="","",IFERROR(INDEX(会议评分!$U$5:$U$14,MATCH($A9,会议评分!$A$5:$A$14,0)),""))</f>
        <v/>
      </c>
      <c r="Y9" s="45" t="str">
        <f aca="false">IF(B9="","",IFERROR(AVERAGEIF(证据索引!$A$5:$A$124,$A9,证据索引!$I$5:$I$124),0))</f>
        <v/>
      </c>
      <c r="Z9" s="45" t="str">
        <f aca="false">IF(B9="","",IFERROR(INDEX(会议评分!$V$5:$V$14,MATCH($A9,会议评分!$A$5:$A$14,0)),0))</f>
        <v/>
      </c>
      <c r="AA9" s="43" t="str">
        <f aca="false">IF(B9="","",IFERROR(INDEX(会议评分!$B$5:$B$14,MATCH($A9,会议评分!$A$5:$A$14,0)),"未评"))</f>
        <v/>
      </c>
      <c r="AB9" s="46" t="str">
        <f aca="false">IF(B9="","",COUNTIF($X$5:$X$14,"&gt;"&amp;X9)+COUNTIF($X$5:X9,X9))</f>
        <v/>
      </c>
      <c r="AC9" s="43" t="str">
        <f aca="false">IF(B9="","",IF(Q9="淘汰","淘汰",IF(Z9&gt;=参数与锚点!$L$17,IF(AA9="已达成共识",IF(Q9="待验证",IF(X9&gt;=参数与锚点!$L$15,"进入24h验证","放弃"),IF(AND(X9&gt;=参数与锚点!$L$12,Y9&gt;=参数与锚点!$L$13),"优先",IF(X9&gt;=参数与锚点!$L$14,"进入24h验证",IF(X9&gt;=参数与锚点!$L$16,"备选","放弃")))),"会议待完成"),"会议待完成")))</f>
        <v/>
      </c>
      <c r="AD9" s="43"/>
    </row>
    <row r="10" customFormat="false" ht="72" hidden="false" customHeight="true" outlineLevel="0" collapsed="false">
      <c r="A10" s="41" t="s">
        <v>268</v>
      </c>
      <c r="B10" s="42"/>
      <c r="C10" s="42"/>
      <c r="D10" s="42"/>
      <c r="E10" s="42"/>
      <c r="F10" s="42"/>
      <c r="G10" s="42"/>
      <c r="H10" s="42"/>
      <c r="I10" s="42"/>
      <c r="J10" s="42"/>
      <c r="K10" s="42" t="s">
        <v>241</v>
      </c>
      <c r="L10" s="42" t="s">
        <v>241</v>
      </c>
      <c r="M10" s="42" t="s">
        <v>241</v>
      </c>
      <c r="N10" s="42" t="s">
        <v>241</v>
      </c>
      <c r="O10" s="42" t="s">
        <v>241</v>
      </c>
      <c r="P10" s="42" t="s">
        <v>241</v>
      </c>
      <c r="Q10" s="43" t="str">
        <f aca="false">IF(B10="","",IF(COUNTIF(K10:P10,"失败")&gt;0,"淘汰",IF(COUNTIF(K10:P10,"待验证")&gt;0,"待验证","通过")))</f>
        <v/>
      </c>
      <c r="R10" s="44" t="str">
        <f aca="false">IF(B10="","",IFERROR(INDEX(会议评分!$O$5:$O$14,MATCH($A10,会议评分!$A$5:$A$14,0)),""))</f>
        <v/>
      </c>
      <c r="S10" s="44" t="str">
        <f aca="false">IF(B10="","",IFERROR(INDEX(会议评分!$P$5:$P$14,MATCH($A10,会议评分!$A$5:$A$14,0)),""))</f>
        <v/>
      </c>
      <c r="T10" s="44" t="str">
        <f aca="false">IF(B10="","",IFERROR(INDEX(会议评分!$Q$5:$Q$14,MATCH($A10,会议评分!$A$5:$A$14,0)),""))</f>
        <v/>
      </c>
      <c r="U10" s="44" t="str">
        <f aca="false">IF(B10="","",IFERROR(INDEX(会议评分!$R$5:$R$14,MATCH($A10,会议评分!$A$5:$A$14,0)),""))</f>
        <v/>
      </c>
      <c r="V10" s="44" t="str">
        <f aca="false">IF(B10="","",IFERROR(INDEX(会议评分!$S$5:$S$14,MATCH($A10,会议评分!$A$5:$A$14,0)),""))</f>
        <v/>
      </c>
      <c r="W10" s="44" t="str">
        <f aca="false">IF(B10="","",IFERROR(INDEX(会议评分!$T$5:$T$14,MATCH($A10,会议评分!$A$5:$A$14,0)),""))</f>
        <v/>
      </c>
      <c r="X10" s="44" t="str">
        <f aca="false">IF(B10="","",IFERROR(INDEX(会议评分!$U$5:$U$14,MATCH($A10,会议评分!$A$5:$A$14,0)),""))</f>
        <v/>
      </c>
      <c r="Y10" s="45" t="str">
        <f aca="false">IF(B10="","",IFERROR(AVERAGEIF(证据索引!$A$5:$A$124,$A10,证据索引!$I$5:$I$124),0))</f>
        <v/>
      </c>
      <c r="Z10" s="45" t="str">
        <f aca="false">IF(B10="","",IFERROR(INDEX(会议评分!$V$5:$V$14,MATCH($A10,会议评分!$A$5:$A$14,0)),0))</f>
        <v/>
      </c>
      <c r="AA10" s="43" t="str">
        <f aca="false">IF(B10="","",IFERROR(INDEX(会议评分!$B$5:$B$14,MATCH($A10,会议评分!$A$5:$A$14,0)),"未评"))</f>
        <v/>
      </c>
      <c r="AB10" s="46" t="str">
        <f aca="false">IF(B10="","",COUNTIF($X$5:$X$14,"&gt;"&amp;X10)+COUNTIF($X$5:X10,X10))</f>
        <v/>
      </c>
      <c r="AC10" s="43" t="str">
        <f aca="false">IF(B10="","",IF(Q10="淘汰","淘汰",IF(Z10&gt;=参数与锚点!$L$17,IF(AA10="已达成共识",IF(Q10="待验证",IF(X10&gt;=参数与锚点!$L$15,"进入24h验证","放弃"),IF(AND(X10&gt;=参数与锚点!$L$12,Y10&gt;=参数与锚点!$L$13),"优先",IF(X10&gt;=参数与锚点!$L$14,"进入24h验证",IF(X10&gt;=参数与锚点!$L$16,"备选","放弃")))),"会议待完成"),"会议待完成")))</f>
        <v/>
      </c>
      <c r="AD10" s="43"/>
    </row>
    <row r="11" customFormat="false" ht="72" hidden="false" customHeight="true" outlineLevel="0" collapsed="false">
      <c r="A11" s="41" t="s">
        <v>269</v>
      </c>
      <c r="B11" s="42"/>
      <c r="C11" s="42"/>
      <c r="D11" s="42"/>
      <c r="E11" s="42"/>
      <c r="F11" s="42"/>
      <c r="G11" s="42"/>
      <c r="H11" s="42"/>
      <c r="I11" s="42"/>
      <c r="J11" s="42"/>
      <c r="K11" s="42" t="s">
        <v>241</v>
      </c>
      <c r="L11" s="42" t="s">
        <v>241</v>
      </c>
      <c r="M11" s="42" t="s">
        <v>241</v>
      </c>
      <c r="N11" s="42" t="s">
        <v>241</v>
      </c>
      <c r="O11" s="42" t="s">
        <v>241</v>
      </c>
      <c r="P11" s="42" t="s">
        <v>241</v>
      </c>
      <c r="Q11" s="43" t="str">
        <f aca="false">IF(B11="","",IF(COUNTIF(K11:P11,"失败")&gt;0,"淘汰",IF(COUNTIF(K11:P11,"待验证")&gt;0,"待验证","通过")))</f>
        <v/>
      </c>
      <c r="R11" s="44" t="str">
        <f aca="false">IF(B11="","",IFERROR(INDEX(会议评分!$O$5:$O$14,MATCH($A11,会议评分!$A$5:$A$14,0)),""))</f>
        <v/>
      </c>
      <c r="S11" s="44" t="str">
        <f aca="false">IF(B11="","",IFERROR(INDEX(会议评分!$P$5:$P$14,MATCH($A11,会议评分!$A$5:$A$14,0)),""))</f>
        <v/>
      </c>
      <c r="T11" s="44" t="str">
        <f aca="false">IF(B11="","",IFERROR(INDEX(会议评分!$Q$5:$Q$14,MATCH($A11,会议评分!$A$5:$A$14,0)),""))</f>
        <v/>
      </c>
      <c r="U11" s="44" t="str">
        <f aca="false">IF(B11="","",IFERROR(INDEX(会议评分!$R$5:$R$14,MATCH($A11,会议评分!$A$5:$A$14,0)),""))</f>
        <v/>
      </c>
      <c r="V11" s="44" t="str">
        <f aca="false">IF(B11="","",IFERROR(INDEX(会议评分!$S$5:$S$14,MATCH($A11,会议评分!$A$5:$A$14,0)),""))</f>
        <v/>
      </c>
      <c r="W11" s="44" t="str">
        <f aca="false">IF(B11="","",IFERROR(INDEX(会议评分!$T$5:$T$14,MATCH($A11,会议评分!$A$5:$A$14,0)),""))</f>
        <v/>
      </c>
      <c r="X11" s="44" t="str">
        <f aca="false">IF(B11="","",IFERROR(INDEX(会议评分!$U$5:$U$14,MATCH($A11,会议评分!$A$5:$A$14,0)),""))</f>
        <v/>
      </c>
      <c r="Y11" s="45" t="str">
        <f aca="false">IF(B11="","",IFERROR(AVERAGEIF(证据索引!$A$5:$A$124,$A11,证据索引!$I$5:$I$124),0))</f>
        <v/>
      </c>
      <c r="Z11" s="45" t="str">
        <f aca="false">IF(B11="","",IFERROR(INDEX(会议评分!$V$5:$V$14,MATCH($A11,会议评分!$A$5:$A$14,0)),0))</f>
        <v/>
      </c>
      <c r="AA11" s="43" t="str">
        <f aca="false">IF(B11="","",IFERROR(INDEX(会议评分!$B$5:$B$14,MATCH($A11,会议评分!$A$5:$A$14,0)),"未评"))</f>
        <v/>
      </c>
      <c r="AB11" s="46" t="str">
        <f aca="false">IF(B11="","",COUNTIF($X$5:$X$14,"&gt;"&amp;X11)+COUNTIF($X$5:X11,X11))</f>
        <v/>
      </c>
      <c r="AC11" s="43" t="str">
        <f aca="false">IF(B11="","",IF(Q11="淘汰","淘汰",IF(Z11&gt;=参数与锚点!$L$17,IF(AA11="已达成共识",IF(Q11="待验证",IF(X11&gt;=参数与锚点!$L$15,"进入24h验证","放弃"),IF(AND(X11&gt;=参数与锚点!$L$12,Y11&gt;=参数与锚点!$L$13),"优先",IF(X11&gt;=参数与锚点!$L$14,"进入24h验证",IF(X11&gt;=参数与锚点!$L$16,"备选","放弃")))),"会议待完成"),"会议待完成")))</f>
        <v/>
      </c>
      <c r="AD11" s="43"/>
    </row>
    <row r="12" customFormat="false" ht="72" hidden="false" customHeight="true" outlineLevel="0" collapsed="false">
      <c r="A12" s="41" t="s">
        <v>270</v>
      </c>
      <c r="B12" s="42"/>
      <c r="C12" s="42"/>
      <c r="D12" s="42"/>
      <c r="E12" s="42"/>
      <c r="F12" s="42"/>
      <c r="G12" s="42"/>
      <c r="H12" s="42"/>
      <c r="I12" s="42"/>
      <c r="J12" s="42"/>
      <c r="K12" s="42" t="s">
        <v>241</v>
      </c>
      <c r="L12" s="42" t="s">
        <v>241</v>
      </c>
      <c r="M12" s="42" t="s">
        <v>241</v>
      </c>
      <c r="N12" s="42" t="s">
        <v>241</v>
      </c>
      <c r="O12" s="42" t="s">
        <v>241</v>
      </c>
      <c r="P12" s="42" t="s">
        <v>241</v>
      </c>
      <c r="Q12" s="43" t="str">
        <f aca="false">IF(B12="","",IF(COUNTIF(K12:P12,"失败")&gt;0,"淘汰",IF(COUNTIF(K12:P12,"待验证")&gt;0,"待验证","通过")))</f>
        <v/>
      </c>
      <c r="R12" s="44" t="str">
        <f aca="false">IF(B12="","",IFERROR(INDEX(会议评分!$O$5:$O$14,MATCH($A12,会议评分!$A$5:$A$14,0)),""))</f>
        <v/>
      </c>
      <c r="S12" s="44" t="str">
        <f aca="false">IF(B12="","",IFERROR(INDEX(会议评分!$P$5:$P$14,MATCH($A12,会议评分!$A$5:$A$14,0)),""))</f>
        <v/>
      </c>
      <c r="T12" s="44" t="str">
        <f aca="false">IF(B12="","",IFERROR(INDEX(会议评分!$Q$5:$Q$14,MATCH($A12,会议评分!$A$5:$A$14,0)),""))</f>
        <v/>
      </c>
      <c r="U12" s="44" t="str">
        <f aca="false">IF(B12="","",IFERROR(INDEX(会议评分!$R$5:$R$14,MATCH($A12,会议评分!$A$5:$A$14,0)),""))</f>
        <v/>
      </c>
      <c r="V12" s="44" t="str">
        <f aca="false">IF(B12="","",IFERROR(INDEX(会议评分!$S$5:$S$14,MATCH($A12,会议评分!$A$5:$A$14,0)),""))</f>
        <v/>
      </c>
      <c r="W12" s="44" t="str">
        <f aca="false">IF(B12="","",IFERROR(INDEX(会议评分!$T$5:$T$14,MATCH($A12,会议评分!$A$5:$A$14,0)),""))</f>
        <v/>
      </c>
      <c r="X12" s="44" t="str">
        <f aca="false">IF(B12="","",IFERROR(INDEX(会议评分!$U$5:$U$14,MATCH($A12,会议评分!$A$5:$A$14,0)),""))</f>
        <v/>
      </c>
      <c r="Y12" s="45" t="str">
        <f aca="false">IF(B12="","",IFERROR(AVERAGEIF(证据索引!$A$5:$A$124,$A12,证据索引!$I$5:$I$124),0))</f>
        <v/>
      </c>
      <c r="Z12" s="45" t="str">
        <f aca="false">IF(B12="","",IFERROR(INDEX(会议评分!$V$5:$V$14,MATCH($A12,会议评分!$A$5:$A$14,0)),0))</f>
        <v/>
      </c>
      <c r="AA12" s="43" t="str">
        <f aca="false">IF(B12="","",IFERROR(INDEX(会议评分!$B$5:$B$14,MATCH($A12,会议评分!$A$5:$A$14,0)),"未评"))</f>
        <v/>
      </c>
      <c r="AB12" s="46" t="str">
        <f aca="false">IF(B12="","",COUNTIF($X$5:$X$14,"&gt;"&amp;X12)+COUNTIF($X$5:X12,X12))</f>
        <v/>
      </c>
      <c r="AC12" s="43" t="str">
        <f aca="false">IF(B12="","",IF(Q12="淘汰","淘汰",IF(Z12&gt;=参数与锚点!$L$17,IF(AA12="已达成共识",IF(Q12="待验证",IF(X12&gt;=参数与锚点!$L$15,"进入24h验证","放弃"),IF(AND(X12&gt;=参数与锚点!$L$12,Y12&gt;=参数与锚点!$L$13),"优先",IF(X12&gt;=参数与锚点!$L$14,"进入24h验证",IF(X12&gt;=参数与锚点!$L$16,"备选","放弃")))),"会议待完成"),"会议待完成")))</f>
        <v/>
      </c>
      <c r="AD12" s="43"/>
    </row>
    <row r="13" customFormat="false" ht="72" hidden="false" customHeight="true" outlineLevel="0" collapsed="false">
      <c r="A13" s="41" t="s">
        <v>271</v>
      </c>
      <c r="B13" s="42"/>
      <c r="C13" s="42"/>
      <c r="D13" s="42"/>
      <c r="E13" s="42"/>
      <c r="F13" s="42"/>
      <c r="G13" s="42"/>
      <c r="H13" s="42"/>
      <c r="I13" s="42"/>
      <c r="J13" s="42"/>
      <c r="K13" s="42" t="s">
        <v>241</v>
      </c>
      <c r="L13" s="42" t="s">
        <v>241</v>
      </c>
      <c r="M13" s="42" t="s">
        <v>241</v>
      </c>
      <c r="N13" s="42" t="s">
        <v>241</v>
      </c>
      <c r="O13" s="42" t="s">
        <v>241</v>
      </c>
      <c r="P13" s="42" t="s">
        <v>241</v>
      </c>
      <c r="Q13" s="43" t="str">
        <f aca="false">IF(B13="","",IF(COUNTIF(K13:P13,"失败")&gt;0,"淘汰",IF(COUNTIF(K13:P13,"待验证")&gt;0,"待验证","通过")))</f>
        <v/>
      </c>
      <c r="R13" s="44" t="str">
        <f aca="false">IF(B13="","",IFERROR(INDEX(会议评分!$O$5:$O$14,MATCH($A13,会议评分!$A$5:$A$14,0)),""))</f>
        <v/>
      </c>
      <c r="S13" s="44" t="str">
        <f aca="false">IF(B13="","",IFERROR(INDEX(会议评分!$P$5:$P$14,MATCH($A13,会议评分!$A$5:$A$14,0)),""))</f>
        <v/>
      </c>
      <c r="T13" s="44" t="str">
        <f aca="false">IF(B13="","",IFERROR(INDEX(会议评分!$Q$5:$Q$14,MATCH($A13,会议评分!$A$5:$A$14,0)),""))</f>
        <v/>
      </c>
      <c r="U13" s="44" t="str">
        <f aca="false">IF(B13="","",IFERROR(INDEX(会议评分!$R$5:$R$14,MATCH($A13,会议评分!$A$5:$A$14,0)),""))</f>
        <v/>
      </c>
      <c r="V13" s="44" t="str">
        <f aca="false">IF(B13="","",IFERROR(INDEX(会议评分!$S$5:$S$14,MATCH($A13,会议评分!$A$5:$A$14,0)),""))</f>
        <v/>
      </c>
      <c r="W13" s="44" t="str">
        <f aca="false">IF(B13="","",IFERROR(INDEX(会议评分!$T$5:$T$14,MATCH($A13,会议评分!$A$5:$A$14,0)),""))</f>
        <v/>
      </c>
      <c r="X13" s="44" t="str">
        <f aca="false">IF(B13="","",IFERROR(INDEX(会议评分!$U$5:$U$14,MATCH($A13,会议评分!$A$5:$A$14,0)),""))</f>
        <v/>
      </c>
      <c r="Y13" s="45" t="str">
        <f aca="false">IF(B13="","",IFERROR(AVERAGEIF(证据索引!$A$5:$A$124,$A13,证据索引!$I$5:$I$124),0))</f>
        <v/>
      </c>
      <c r="Z13" s="45" t="str">
        <f aca="false">IF(B13="","",IFERROR(INDEX(会议评分!$V$5:$V$14,MATCH($A13,会议评分!$A$5:$A$14,0)),0))</f>
        <v/>
      </c>
      <c r="AA13" s="43" t="str">
        <f aca="false">IF(B13="","",IFERROR(INDEX(会议评分!$B$5:$B$14,MATCH($A13,会议评分!$A$5:$A$14,0)),"未评"))</f>
        <v/>
      </c>
      <c r="AB13" s="46" t="str">
        <f aca="false">IF(B13="","",COUNTIF($X$5:$X$14,"&gt;"&amp;X13)+COUNTIF($X$5:X13,X13))</f>
        <v/>
      </c>
      <c r="AC13" s="43" t="str">
        <f aca="false">IF(B13="","",IF(Q13="淘汰","淘汰",IF(Z13&gt;=参数与锚点!$L$17,IF(AA13="已达成共识",IF(Q13="待验证",IF(X13&gt;=参数与锚点!$L$15,"进入24h验证","放弃"),IF(AND(X13&gt;=参数与锚点!$L$12,Y13&gt;=参数与锚点!$L$13),"优先",IF(X13&gt;=参数与锚点!$L$14,"进入24h验证",IF(X13&gt;=参数与锚点!$L$16,"备选","放弃")))),"会议待完成"),"会议待完成")))</f>
        <v/>
      </c>
      <c r="AD13" s="43"/>
    </row>
    <row r="14" customFormat="false" ht="72" hidden="false" customHeight="true" outlineLevel="0" collapsed="false">
      <c r="A14" s="47" t="s">
        <v>272</v>
      </c>
      <c r="B14" s="48"/>
      <c r="C14" s="48"/>
      <c r="D14" s="48"/>
      <c r="E14" s="48"/>
      <c r="F14" s="48"/>
      <c r="G14" s="48"/>
      <c r="H14" s="48"/>
      <c r="I14" s="48"/>
      <c r="J14" s="48"/>
      <c r="K14" s="49" t="s">
        <v>241</v>
      </c>
      <c r="L14" s="49" t="s">
        <v>241</v>
      </c>
      <c r="M14" s="49" t="s">
        <v>241</v>
      </c>
      <c r="N14" s="49" t="s">
        <v>241</v>
      </c>
      <c r="O14" s="49" t="s">
        <v>241</v>
      </c>
      <c r="P14" s="49" t="s">
        <v>241</v>
      </c>
      <c r="Q14" s="50" t="str">
        <f aca="false">IF(B14="","",IF(COUNTIF(K14:P14,"失败")&gt;0,"淘汰",IF(COUNTIF(K14:P14,"待验证")&gt;0,"待验证","通过")))</f>
        <v/>
      </c>
      <c r="R14" s="51" t="str">
        <f aca="false">IF(B14="","",IFERROR(INDEX(会议评分!$O$5:$O$14,MATCH($A14,会议评分!$A$5:$A$14,0)),""))</f>
        <v/>
      </c>
      <c r="S14" s="51" t="str">
        <f aca="false">IF(B14="","",IFERROR(INDEX(会议评分!$P$5:$P$14,MATCH($A14,会议评分!$A$5:$A$14,0)),""))</f>
        <v/>
      </c>
      <c r="T14" s="51" t="str">
        <f aca="false">IF(B14="","",IFERROR(INDEX(会议评分!$Q$5:$Q$14,MATCH($A14,会议评分!$A$5:$A$14,0)),""))</f>
        <v/>
      </c>
      <c r="U14" s="51" t="str">
        <f aca="false">IF(B14="","",IFERROR(INDEX(会议评分!$R$5:$R$14,MATCH($A14,会议评分!$A$5:$A$14,0)),""))</f>
        <v/>
      </c>
      <c r="V14" s="51" t="str">
        <f aca="false">IF(B14="","",IFERROR(INDEX(会议评分!$S$5:$S$14,MATCH($A14,会议评分!$A$5:$A$14,0)),""))</f>
        <v/>
      </c>
      <c r="W14" s="51" t="str">
        <f aca="false">IF(B14="","",IFERROR(INDEX(会议评分!$T$5:$T$14,MATCH($A14,会议评分!$A$5:$A$14,0)),""))</f>
        <v/>
      </c>
      <c r="X14" s="51" t="str">
        <f aca="false">IF(B14="","",IFERROR(INDEX(会议评分!$U$5:$U$14,MATCH($A14,会议评分!$A$5:$A$14,0)),""))</f>
        <v/>
      </c>
      <c r="Y14" s="52" t="str">
        <f aca="false">IF(B14="","",IFERROR(AVERAGEIF(证据索引!$A$5:$A$124,$A14,证据索引!$I$5:$I$124),0))</f>
        <v/>
      </c>
      <c r="Z14" s="52" t="str">
        <f aca="false">IF(B14="","",IFERROR(INDEX(会议评分!$V$5:$V$14,MATCH($A14,会议评分!$A$5:$A$14,0)),0))</f>
        <v/>
      </c>
      <c r="AA14" s="50" t="str">
        <f aca="false">IF(B14="","",IFERROR(INDEX(会议评分!$B$5:$B$14,MATCH($A14,会议评分!$A$5:$A$14,0)),"未评"))</f>
        <v/>
      </c>
      <c r="AB14" s="53" t="str">
        <f aca="false">IF(B14="","",COUNTIF($X$5:$X$14,"&gt;"&amp;X14)+COUNTIF($X$5:X14,X14))</f>
        <v/>
      </c>
      <c r="AC14" s="50" t="str">
        <f aca="false">IF(B14="","",IF(Q14="淘汰","淘汰",IF(Z14&gt;=参数与锚点!$L$17,IF(AA14="已达成共识",IF(Q14="待验证",IF(X14&gt;=参数与锚点!$L$15,"进入24h验证","放弃"),IF(AND(X14&gt;=参数与锚点!$L$12,Y14&gt;=参数与锚点!$L$13),"优先",IF(X14&gt;=参数与锚点!$L$14,"进入24h验证",IF(X14&gt;=参数与锚点!$L$16,"备选","放弃")))),"会议待完成"),"会议待完成")))</f>
        <v/>
      </c>
      <c r="AD14" s="50"/>
    </row>
  </sheetData>
  <mergeCells count="2">
    <mergeCell ref="A1:AD1"/>
    <mergeCell ref="A2:AD2"/>
  </mergeCells>
  <conditionalFormatting sqref="X5:X14">
    <cfRule type="dataBar" priority="2">
      <dataBar showValue="1" minLength="10" maxLength="90">
        <cfvo type="min" val="0"/>
        <cfvo type="max" val="0"/>
        <color rgb="FF1D4ED8"/>
      </dataBar>
      <extLst>
        <ext xmlns:x14="http://schemas.microsoft.com/office/spreadsheetml/2009/9/main" uri="{B025F937-C7B1-47D3-B67F-A62EFF666E3E}">
          <x14:id>{695E2C20-F197-485C-BFDB-21C1AEED203F}</x14:id>
        </ext>
      </extLst>
    </cfRule>
  </conditionalFormatting>
  <conditionalFormatting sqref="Y5:Y14">
    <cfRule type="dataBar" priority="3">
      <dataBar showValue="1" minLength="10" maxLength="90">
        <cfvo type="min" val="0"/>
        <cfvo type="max" val="0"/>
        <color rgb="FF0F766E"/>
      </dataBar>
      <extLst>
        <ext xmlns:x14="http://schemas.microsoft.com/office/spreadsheetml/2009/9/main" uri="{B025F937-C7B1-47D3-B67F-A62EFF666E3E}">
          <x14:id>{60DB2EE6-8840-4253-96F4-B990FEA8C5FE}</x14:id>
        </ext>
      </extLst>
    </cfRule>
  </conditionalFormatting>
  <conditionalFormatting sqref="Q5:Q14">
    <cfRule type="containsText" priority="4" operator="containsText" aboveAverage="0" equalAverage="0" bottom="0" percent="0" rank="0" text="通过" dxfId="0">
      <formula>NOT(ISERROR(SEARCH("通过",Q5)))</formula>
    </cfRule>
    <cfRule type="containsText" priority="5" operator="containsText" aboveAverage="0" equalAverage="0" bottom="0" percent="0" rank="0" text="待验证" dxfId="1">
      <formula>NOT(ISERROR(SEARCH("待验证",Q5)))</formula>
    </cfRule>
    <cfRule type="containsText" priority="6" operator="containsText" aboveAverage="0" equalAverage="0" bottom="0" percent="0" rank="0" text="淘汰" dxfId="2">
      <formula>NOT(ISERROR(SEARCH("淘汰",Q5)))</formula>
    </cfRule>
  </conditionalFormatting>
  <conditionalFormatting sqref="AC5:AC14">
    <cfRule type="containsText" priority="7" operator="containsText" aboveAverage="0" equalAverage="0" bottom="0" percent="0" rank="0" text="优先" dxfId="0">
      <formula>NOT(ISERROR(SEARCH("优先",AC5)))</formula>
    </cfRule>
    <cfRule type="containsText" priority="8" operator="containsText" aboveAverage="0" equalAverage="0" bottom="0" percent="0" rank="0" text="验证" dxfId="1">
      <formula>NOT(ISERROR(SEARCH("验证",AC5)))</formula>
    </cfRule>
    <cfRule type="containsText" priority="9" operator="containsText" aboveAverage="0" equalAverage="0" bottom="0" percent="0" rank="0" text="待完成" dxfId="1">
      <formula>NOT(ISERROR(SEARCH("待完成",AC5)))</formula>
    </cfRule>
    <cfRule type="containsText" priority="10" operator="containsText" aboveAverage="0" equalAverage="0" bottom="0" percent="0" rank="0" text="淘汰" dxfId="2">
      <formula>NOT(ISERROR(SEARCH("淘汰",AC5)))</formula>
    </cfRule>
    <cfRule type="containsText" priority="11" operator="containsText" aboveAverage="0" equalAverage="0" bottom="0" percent="0" rank="0" text="放弃" dxfId="2">
      <formula>NOT(ISERROR(SEARCH("放弃",AC5)))</formula>
    </cfRule>
  </conditionalFormatting>
  <dataValidations count="1">
    <dataValidation allowBlank="false" errorStyle="stop" operator="between" showDropDown="false" showErrorMessage="false" showInputMessage="false" sqref="K5:P14" type="list">
      <formula1>"通过,待验证,失败"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5E2C20-F197-485C-BFDB-21C1AEED203F}">
            <x14:dataBar minLength="10" maxLength="90" axisPosition="none" gradient="true">
              <x14:cfvo type="min"/>
              <x14:cfvo type="max"/>
              <x14:negativeFillColor rgb="FF1D4ED8"/>
              <x14:axisColor rgb="FF000000"/>
            </x14:dataBar>
          </x14:cfRule>
          <xm:sqref>X5:X14</xm:sqref>
        </x14:conditionalFormatting>
        <x14:conditionalFormatting xmlns:xm="http://schemas.microsoft.com/office/excel/2006/main">
          <x14:cfRule type="dataBar" id="{60DB2EE6-8840-4253-96F4-B990FEA8C5FE}">
            <x14:dataBar minLength="10" maxLength="90" axisPosition="none" gradient="true">
              <x14:cfvo type="min"/>
              <x14:cfvo type="max"/>
              <x14:negativeFillColor rgb="FF0F766E"/>
              <x14:axisColor rgb="FF000000"/>
            </x14:dataBar>
          </x14:cfRule>
          <xm:sqref>Y5:Y14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14" min="3" style="0" width="7"/>
    <col collapsed="false" customWidth="true" hidden="false" outlineLevel="0" max="20" min="15" style="0" width="11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4" min="23" style="0" width="34"/>
    <col collapsed="false" customWidth="true" hidden="false" outlineLevel="0" max="36" min="25" style="0" width="7.5"/>
    <col collapsed="false" customWidth="true" hidden="false" outlineLevel="0" max="37" min="37" style="0" width="13"/>
  </cols>
  <sheetData>
    <row r="1" customFormat="false" ht="33.75" hidden="false" customHeight="true" outlineLevel="0" collapsed="false">
      <c r="A1" s="22" t="s">
        <v>273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customFormat="false" ht="30" hidden="false" customHeight="true" outlineLevel="0" collapsed="false">
      <c r="A2" s="2" t="s">
        <v>274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31.5" hidden="false" customHeight="true" outlineLevel="0" collapsed="false">
      <c r="A4" s="4" t="s">
        <v>201</v>
      </c>
      <c r="B4" s="5" t="s">
        <v>227</v>
      </c>
      <c r="C4" s="24" t="s">
        <v>69</v>
      </c>
      <c r="D4" s="24" t="s">
        <v>78</v>
      </c>
      <c r="E4" s="24" t="s">
        <v>86</v>
      </c>
      <c r="F4" s="24" t="s">
        <v>95</v>
      </c>
      <c r="G4" s="24" t="s">
        <v>103</v>
      </c>
      <c r="H4" s="24" t="s">
        <v>111</v>
      </c>
      <c r="I4" s="24" t="s">
        <v>118</v>
      </c>
      <c r="J4" s="24" t="s">
        <v>128</v>
      </c>
      <c r="K4" s="24" t="s">
        <v>136</v>
      </c>
      <c r="L4" s="24" t="s">
        <v>145</v>
      </c>
      <c r="M4" s="24" t="s">
        <v>154</v>
      </c>
      <c r="N4" s="24" t="s">
        <v>164</v>
      </c>
      <c r="O4" s="5" t="s">
        <v>218</v>
      </c>
      <c r="P4" s="5" t="s">
        <v>219</v>
      </c>
      <c r="Q4" s="24" t="s">
        <v>220</v>
      </c>
      <c r="R4" s="5" t="s">
        <v>221</v>
      </c>
      <c r="S4" s="5" t="s">
        <v>222</v>
      </c>
      <c r="T4" s="5" t="s">
        <v>223</v>
      </c>
      <c r="U4" s="5" t="s">
        <v>224</v>
      </c>
      <c r="V4" s="5" t="s">
        <v>226</v>
      </c>
      <c r="W4" s="5" t="s">
        <v>275</v>
      </c>
      <c r="X4" s="6" t="s">
        <v>276</v>
      </c>
      <c r="Y4" s="24" t="s">
        <v>277</v>
      </c>
      <c r="Z4" s="24" t="s">
        <v>278</v>
      </c>
      <c r="AA4" s="24" t="s">
        <v>279</v>
      </c>
      <c r="AB4" s="24" t="s">
        <v>280</v>
      </c>
      <c r="AC4" s="24" t="s">
        <v>281</v>
      </c>
      <c r="AD4" s="24" t="s">
        <v>282</v>
      </c>
      <c r="AE4" s="24" t="s">
        <v>283</v>
      </c>
      <c r="AF4" s="24" t="s">
        <v>284</v>
      </c>
      <c r="AG4" s="24" t="s">
        <v>285</v>
      </c>
      <c r="AH4" s="24" t="s">
        <v>286</v>
      </c>
      <c r="AI4" s="24" t="s">
        <v>287</v>
      </c>
      <c r="AJ4" s="24" t="s">
        <v>288</v>
      </c>
      <c r="AK4" s="5" t="s">
        <v>289</v>
      </c>
    </row>
    <row r="5" customFormat="false" ht="48" hidden="false" customHeight="true" outlineLevel="0" collapsed="false">
      <c r="A5" s="54" t="s">
        <v>231</v>
      </c>
      <c r="B5" s="35" t="s">
        <v>290</v>
      </c>
      <c r="C5" s="55" t="n">
        <v>4</v>
      </c>
      <c r="D5" s="55" t="n">
        <v>3</v>
      </c>
      <c r="E5" s="55" t="n">
        <v>4</v>
      </c>
      <c r="F5" s="55" t="n">
        <v>4</v>
      </c>
      <c r="G5" s="55" t="n">
        <v>5</v>
      </c>
      <c r="H5" s="55" t="n">
        <v>4</v>
      </c>
      <c r="I5" s="55" t="n">
        <v>5</v>
      </c>
      <c r="J5" s="55" t="n">
        <v>5</v>
      </c>
      <c r="K5" s="55" t="n">
        <v>4</v>
      </c>
      <c r="L5" s="55" t="n">
        <v>4</v>
      </c>
      <c r="M5" s="55" t="n">
        <v>4</v>
      </c>
      <c r="N5" s="55" t="n">
        <v>3</v>
      </c>
      <c r="O5" s="38" t="n">
        <f aca="false">IF(A5="","",(Y5*参数与锚点!$D$5+Z5*参数与锚点!$D$6)/5)</f>
        <v>14</v>
      </c>
      <c r="P5" s="38" t="n">
        <f aca="false">IF(A5="","",(AA5*参数与锚点!$D$7+AB5*参数与锚点!$D$8)/5)</f>
        <v>10.6</v>
      </c>
      <c r="Q5" s="38" t="n">
        <f aca="false">IF(A5="","",(AC5*参数与锚点!$D$9+AD5*参数与锚点!$D$10)/5)</f>
        <v>12.2</v>
      </c>
      <c r="R5" s="38" t="n">
        <f aca="false">IF(A5="","",(AE5*参数与锚点!$D$11+AF5*参数与锚点!$D$12)/5)</f>
        <v>15</v>
      </c>
      <c r="S5" s="38" t="n">
        <f aca="false">IF(A5="","",(AG5*参数与锚点!$D$13+AH5*参数与锚点!$D$14)/5)</f>
        <v>14</v>
      </c>
      <c r="T5" s="38" t="n">
        <f aca="false">IF(A5="","",(AI5*参数与锚点!$D$15+AJ5*参数与锚点!$D$16)/5)</f>
        <v>10.6</v>
      </c>
      <c r="U5" s="38" t="n">
        <f aca="false">IF(A5="","",SUM(O5:T5))</f>
        <v>76.4</v>
      </c>
      <c r="V5" s="39" t="n">
        <f aca="false">IF(A5="","",COUNT(C5:N5)/12)</f>
        <v>1</v>
      </c>
      <c r="W5" s="35" t="s">
        <v>291</v>
      </c>
      <c r="X5" s="35" t="s">
        <v>292</v>
      </c>
      <c r="Y5" s="40" t="n">
        <f aca="false">IF($A5="","",IF(C5="",0,MIN(C5,3+2*(SUMIFS(证据索引!$I$5:$I$124,证据索引!$A$5:$A$124,$A5,证据索引!$B$5:$B$124,C$4)&gt;=参数与锚点!$L$7))))</f>
        <v>4</v>
      </c>
      <c r="Z5" s="40" t="n">
        <f aca="false">IF($A5="","",IF(D5="",0,MIN(D5,3+2*(SUMIFS(证据索引!$I$5:$I$124,证据索引!$A$5:$A$124,$A5,证据索引!$B$5:$B$124,D$4)&gt;=参数与锚点!$L$7))))</f>
        <v>3</v>
      </c>
      <c r="AA5" s="40" t="n">
        <f aca="false">IF($A5="","",IF(E5="",0,MIN(E5,3+2*(SUMIFS(证据索引!$I$5:$I$124,证据索引!$A$5:$A$124,$A5,证据索引!$B$5:$B$124,E$4)&gt;=参数与锚点!$L$7))))</f>
        <v>4</v>
      </c>
      <c r="AB5" s="40" t="n">
        <f aca="false">IF($A5="","",IF(F5="",0,MIN(F5,3+2*(SUMIFS(证据索引!$I$5:$I$124,证据索引!$A$5:$A$124,$A5,证据索引!$B$5:$B$124,F$4)&gt;=参数与锚点!$L$7))))</f>
        <v>3</v>
      </c>
      <c r="AC5" s="40" t="n">
        <f aca="false">IF($A5="","",IF(G5="",0,MIN(G5,3+2*(SUMIFS(证据索引!$I$5:$I$124,证据索引!$A$5:$A$124,$A5,证据索引!$B$5:$B$124,G$4)&gt;=参数与锚点!$L$7))))</f>
        <v>5</v>
      </c>
      <c r="AD5" s="40" t="n">
        <f aca="false">IF($A5="","",IF(H5="",0,MIN(H5,3+2*(SUMIFS(证据索引!$I$5:$I$124,证据索引!$A$5:$A$124,$A5,证据索引!$B$5:$B$124,H$4)&gt;=参数与锚点!$L$7))))</f>
        <v>3</v>
      </c>
      <c r="AE5" s="40" t="n">
        <f aca="false">IF($A5="","",IF(I5="",0,MIN(I5,3+2*(SUMIFS(证据索引!$I$5:$I$124,证据索引!$A$5:$A$124,$A5,证据索引!$B$5:$B$124,I$4)&gt;=参数与锚点!$L$7))))</f>
        <v>5</v>
      </c>
      <c r="AF5" s="40" t="n">
        <f aca="false">IF($A5="","",IF(J5="",0,MIN(J5,3+2*(SUMIFS(证据索引!$I$5:$I$124,证据索引!$A$5:$A$124,$A5,证据索引!$B$5:$B$124,J$4)&gt;=参数与锚点!$L$7))))</f>
        <v>5</v>
      </c>
      <c r="AG5" s="40" t="n">
        <f aca="false">IF($A5="","",IF(K5="",0,MIN(K5,3+2*(SUMIFS(证据索引!$I$5:$I$124,证据索引!$A$5:$A$124,$A5,证据索引!$B$5:$B$124,K$4)&gt;=参数与锚点!$L$7))))</f>
        <v>4</v>
      </c>
      <c r="AH5" s="40" t="n">
        <f aca="false">IF($A5="","",IF(L5="",0,MIN(L5,3+2*(SUMIFS(证据索引!$I$5:$I$124,证据索引!$A$5:$A$124,$A5,证据索引!$B$5:$B$124,L$4)&gt;=参数与锚点!$L$7))))</f>
        <v>3</v>
      </c>
      <c r="AI5" s="40" t="n">
        <f aca="false">IF($A5="","",IF(M5="",0,MIN(M5,3+2*(SUMIFS(证据索引!$I$5:$I$124,证据索引!$A$5:$A$124,$A5,证据索引!$B$5:$B$124,M$4)&gt;=参数与锚点!$L$7))))</f>
        <v>4</v>
      </c>
      <c r="AJ5" s="40" t="n">
        <f aca="false">IF($A5="","",IF(N5="",0,MIN(N5,3+2*(SUMIFS(证据索引!$I$5:$I$124,证据索引!$A$5:$A$124,$A5,证据索引!$B$5:$B$124,N$4)&gt;=参数与锚点!$L$7))))</f>
        <v>3</v>
      </c>
      <c r="AK5" s="40" t="n">
        <f aca="false">IF($A5="","",SUMPRODUCT((C5:N5&gt;Y5:AJ5)*1))</f>
        <v>3</v>
      </c>
    </row>
    <row r="6" customFormat="false" ht="48" hidden="false" customHeight="true" outlineLevel="0" collapsed="false">
      <c r="A6" s="56" t="s">
        <v>244</v>
      </c>
      <c r="B6" s="42" t="s">
        <v>290</v>
      </c>
      <c r="C6" s="57" t="n">
        <v>4</v>
      </c>
      <c r="D6" s="57" t="n">
        <v>3</v>
      </c>
      <c r="E6" s="57" t="n">
        <v>4</v>
      </c>
      <c r="F6" s="57" t="n">
        <v>4</v>
      </c>
      <c r="G6" s="57" t="n">
        <v>4</v>
      </c>
      <c r="H6" s="57" t="n">
        <v>3</v>
      </c>
      <c r="I6" s="57" t="n">
        <v>4</v>
      </c>
      <c r="J6" s="57" t="n">
        <v>4</v>
      </c>
      <c r="K6" s="57" t="n">
        <v>3</v>
      </c>
      <c r="L6" s="57" t="n">
        <v>4</v>
      </c>
      <c r="M6" s="57" t="n">
        <v>4</v>
      </c>
      <c r="N6" s="57" t="n">
        <v>3</v>
      </c>
      <c r="O6" s="44" t="n">
        <f aca="false">IF(A6="","",(Y6*参数与锚点!$D$5+Z6*参数与锚点!$D$6)/5)</f>
        <v>14</v>
      </c>
      <c r="P6" s="44" t="n">
        <f aca="false">IF(A6="","",(AA6*参数与锚点!$D$7+AB6*参数与锚点!$D$8)/5)</f>
        <v>10.6</v>
      </c>
      <c r="Q6" s="44" t="n">
        <f aca="false">IF(A6="","",(AC6*参数与锚点!$D$9+AD6*参数与锚点!$D$10)/5)</f>
        <v>10.6</v>
      </c>
      <c r="R6" s="44" t="n">
        <f aca="false">IF(A6="","",(AE6*参数与锚点!$D$11+AF6*参数与锚点!$D$12)/5)</f>
        <v>12</v>
      </c>
      <c r="S6" s="44" t="n">
        <f aca="false">IF(A6="","",(AG6*参数与锚点!$D$13+AH6*参数与锚点!$D$14)/5)</f>
        <v>12</v>
      </c>
      <c r="T6" s="44" t="n">
        <f aca="false">IF(A6="","",(AI6*参数与锚点!$D$15+AJ6*参数与锚点!$D$16)/5)</f>
        <v>10.6</v>
      </c>
      <c r="U6" s="44" t="n">
        <f aca="false">IF(A6="","",SUM(O6:T6))</f>
        <v>69.8</v>
      </c>
      <c r="V6" s="45" t="n">
        <f aca="false">IF(A6="","",COUNT(C6:N6)/12)</f>
        <v>1</v>
      </c>
      <c r="W6" s="42" t="s">
        <v>293</v>
      </c>
      <c r="X6" s="42" t="s">
        <v>294</v>
      </c>
      <c r="Y6" s="40" t="n">
        <f aca="false">IF($A6="","",IF(C6="",0,MIN(C6,3+2*(SUMIFS(证据索引!$I$5:$I$124,证据索引!$A$5:$A$124,$A6,证据索引!$B$5:$B$124,C$4)&gt;=参数与锚点!$L$7))))</f>
        <v>4</v>
      </c>
      <c r="Z6" s="40" t="n">
        <f aca="false">IF($A6="","",IF(D6="",0,MIN(D6,3+2*(SUMIFS(证据索引!$I$5:$I$124,证据索引!$A$5:$A$124,$A6,证据索引!$B$5:$B$124,D$4)&gt;=参数与锚点!$L$7))))</f>
        <v>3</v>
      </c>
      <c r="AA6" s="40" t="n">
        <f aca="false">IF($A6="","",IF(E6="",0,MIN(E6,3+2*(SUMIFS(证据索引!$I$5:$I$124,证据索引!$A$5:$A$124,$A6,证据索引!$B$5:$B$124,E$4)&gt;=参数与锚点!$L$7))))</f>
        <v>4</v>
      </c>
      <c r="AB6" s="40" t="n">
        <f aca="false">IF($A6="","",IF(F6="",0,MIN(F6,3+2*(SUMIFS(证据索引!$I$5:$I$124,证据索引!$A$5:$A$124,$A6,证据索引!$B$5:$B$124,F$4)&gt;=参数与锚点!$L$7))))</f>
        <v>3</v>
      </c>
      <c r="AC6" s="40" t="n">
        <f aca="false">IF($A6="","",IF(G6="",0,MIN(G6,3+2*(SUMIFS(证据索引!$I$5:$I$124,证据索引!$A$5:$A$124,$A6,证据索引!$B$5:$B$124,G$4)&gt;=参数与锚点!$L$7))))</f>
        <v>4</v>
      </c>
      <c r="AD6" s="40" t="n">
        <f aca="false">IF($A6="","",IF(H6="",0,MIN(H6,3+2*(SUMIFS(证据索引!$I$5:$I$124,证据索引!$A$5:$A$124,$A6,证据索引!$B$5:$B$124,H$4)&gt;=参数与锚点!$L$7))))</f>
        <v>3</v>
      </c>
      <c r="AE6" s="40" t="n">
        <f aca="false">IF($A6="","",IF(I6="",0,MIN(I6,3+2*(SUMIFS(证据索引!$I$5:$I$124,证据索引!$A$5:$A$124,$A6,证据索引!$B$5:$B$124,I$4)&gt;=参数与锚点!$L$7))))</f>
        <v>4</v>
      </c>
      <c r="AF6" s="40" t="n">
        <f aca="false">IF($A6="","",IF(J6="",0,MIN(J6,3+2*(SUMIFS(证据索引!$I$5:$I$124,证据索引!$A$5:$A$124,$A6,证据索引!$B$5:$B$124,J$4)&gt;=参数与锚点!$L$7))))</f>
        <v>4</v>
      </c>
      <c r="AG6" s="40" t="n">
        <f aca="false">IF($A6="","",IF(K6="",0,MIN(K6,3+2*(SUMIFS(证据索引!$I$5:$I$124,证据索引!$A$5:$A$124,$A6,证据索引!$B$5:$B$124,K$4)&gt;=参数与锚点!$L$7))))</f>
        <v>3</v>
      </c>
      <c r="AH6" s="40" t="n">
        <f aca="false">IF($A6="","",IF(L6="",0,MIN(L6,3+2*(SUMIFS(证据索引!$I$5:$I$124,证据索引!$A$5:$A$124,$A6,证据索引!$B$5:$B$124,L$4)&gt;=参数与锚点!$L$7))))</f>
        <v>3</v>
      </c>
      <c r="AI6" s="40" t="n">
        <f aca="false">IF($A6="","",IF(M6="",0,MIN(M6,3+2*(SUMIFS(证据索引!$I$5:$I$124,证据索引!$A$5:$A$124,$A6,证据索引!$B$5:$B$124,M$4)&gt;=参数与锚点!$L$7))))</f>
        <v>4</v>
      </c>
      <c r="AJ6" s="40" t="n">
        <f aca="false">IF($A6="","",IF(N6="",0,MIN(N6,3+2*(SUMIFS(证据索引!$I$5:$I$124,证据索引!$A$5:$A$124,$A6,证据索引!$B$5:$B$124,N$4)&gt;=参数与锚点!$L$7))))</f>
        <v>3</v>
      </c>
      <c r="AK6" s="40" t="n">
        <f aca="false">IF($A6="","",SUMPRODUCT((C6:N6&gt;Y6:AJ6)*1))</f>
        <v>2</v>
      </c>
    </row>
    <row r="7" customFormat="false" ht="48" hidden="false" customHeight="true" outlineLevel="0" collapsed="false">
      <c r="A7" s="56" t="s">
        <v>255</v>
      </c>
      <c r="B7" s="42" t="s">
        <v>290</v>
      </c>
      <c r="C7" s="57" t="n">
        <v>3</v>
      </c>
      <c r="D7" s="57" t="n">
        <v>4</v>
      </c>
      <c r="E7" s="57" t="n">
        <v>4</v>
      </c>
      <c r="F7" s="57" t="n">
        <v>3</v>
      </c>
      <c r="G7" s="57" t="n">
        <v>4</v>
      </c>
      <c r="H7" s="57" t="n">
        <v>3</v>
      </c>
      <c r="I7" s="57" t="n">
        <v>4</v>
      </c>
      <c r="J7" s="57" t="n">
        <v>4</v>
      </c>
      <c r="K7" s="57" t="n">
        <v>4</v>
      </c>
      <c r="L7" s="57" t="n">
        <v>4</v>
      </c>
      <c r="M7" s="57" t="n">
        <v>4</v>
      </c>
      <c r="N7" s="57" t="n">
        <v>4</v>
      </c>
      <c r="O7" s="44" t="n">
        <f aca="false">IF(A7="","",(Y7*参数与锚点!$D$5+Z7*参数与锚点!$D$6)/5)</f>
        <v>12</v>
      </c>
      <c r="P7" s="44" t="n">
        <f aca="false">IF(A7="","",(AA7*参数与锚点!$D$7+AB7*参数与锚点!$D$8)/5)</f>
        <v>10.6</v>
      </c>
      <c r="Q7" s="44" t="n">
        <f aca="false">IF(A7="","",(AC7*参数与锚点!$D$9+AD7*参数与锚点!$D$10)/5)</f>
        <v>10.6</v>
      </c>
      <c r="R7" s="44" t="n">
        <f aca="false">IF(A7="","",(AE7*参数与锚点!$D$11+AF7*参数与锚点!$D$12)/5)</f>
        <v>12</v>
      </c>
      <c r="S7" s="44" t="n">
        <f aca="false">IF(A7="","",(AG7*参数与锚点!$D$13+AH7*参数与锚点!$D$14)/5)</f>
        <v>16</v>
      </c>
      <c r="T7" s="44" t="n">
        <f aca="false">IF(A7="","",(AI7*参数与锚点!$D$15+AJ7*参数与锚点!$D$16)/5)</f>
        <v>10.6</v>
      </c>
      <c r="U7" s="44" t="n">
        <f aca="false">IF(A7="","",SUM(O7:T7))</f>
        <v>71.8</v>
      </c>
      <c r="V7" s="45" t="n">
        <f aca="false">IF(A7="","",COUNT(C7:N7)/12)</f>
        <v>1</v>
      </c>
      <c r="W7" s="42" t="s">
        <v>295</v>
      </c>
      <c r="X7" s="42" t="s">
        <v>296</v>
      </c>
      <c r="Y7" s="40" t="n">
        <f aca="false">IF($A7="","",IF(C7="",0,MIN(C7,3+2*(SUMIFS(证据索引!$I$5:$I$124,证据索引!$A$5:$A$124,$A7,证据索引!$B$5:$B$124,C$4)&gt;=参数与锚点!$L$7))))</f>
        <v>3</v>
      </c>
      <c r="Z7" s="40" t="n">
        <f aca="false">IF($A7="","",IF(D7="",0,MIN(D7,3+2*(SUMIFS(证据索引!$I$5:$I$124,证据索引!$A$5:$A$124,$A7,证据索引!$B$5:$B$124,D$4)&gt;=参数与锚点!$L$7))))</f>
        <v>3</v>
      </c>
      <c r="AA7" s="40" t="n">
        <f aca="false">IF($A7="","",IF(E7="",0,MIN(E7,3+2*(SUMIFS(证据索引!$I$5:$I$124,证据索引!$A$5:$A$124,$A7,证据索引!$B$5:$B$124,E$4)&gt;=参数与锚点!$L$7))))</f>
        <v>4</v>
      </c>
      <c r="AB7" s="40" t="n">
        <f aca="false">IF($A7="","",IF(F7="",0,MIN(F7,3+2*(SUMIFS(证据索引!$I$5:$I$124,证据索引!$A$5:$A$124,$A7,证据索引!$B$5:$B$124,F$4)&gt;=参数与锚点!$L$7))))</f>
        <v>3</v>
      </c>
      <c r="AC7" s="40" t="n">
        <f aca="false">IF($A7="","",IF(G7="",0,MIN(G7,3+2*(SUMIFS(证据索引!$I$5:$I$124,证据索引!$A$5:$A$124,$A7,证据索引!$B$5:$B$124,G$4)&gt;=参数与锚点!$L$7))))</f>
        <v>4</v>
      </c>
      <c r="AD7" s="40" t="n">
        <f aca="false">IF($A7="","",IF(H7="",0,MIN(H7,3+2*(SUMIFS(证据索引!$I$5:$I$124,证据索引!$A$5:$A$124,$A7,证据索引!$B$5:$B$124,H$4)&gt;=参数与锚点!$L$7))))</f>
        <v>3</v>
      </c>
      <c r="AE7" s="40" t="n">
        <f aca="false">IF($A7="","",IF(I7="",0,MIN(I7,3+2*(SUMIFS(证据索引!$I$5:$I$124,证据索引!$A$5:$A$124,$A7,证据索引!$B$5:$B$124,I$4)&gt;=参数与锚点!$L$7))))</f>
        <v>4</v>
      </c>
      <c r="AF7" s="40" t="n">
        <f aca="false">IF($A7="","",IF(J7="",0,MIN(J7,3+2*(SUMIFS(证据索引!$I$5:$I$124,证据索引!$A$5:$A$124,$A7,证据索引!$B$5:$B$124,J$4)&gt;=参数与锚点!$L$7))))</f>
        <v>4</v>
      </c>
      <c r="AG7" s="40" t="n">
        <f aca="false">IF($A7="","",IF(K7="",0,MIN(K7,3+2*(SUMIFS(证据索引!$I$5:$I$124,证据索引!$A$5:$A$124,$A7,证据索引!$B$5:$B$124,K$4)&gt;=参数与锚点!$L$7))))</f>
        <v>4</v>
      </c>
      <c r="AH7" s="40" t="n">
        <f aca="false">IF($A7="","",IF(L7="",0,MIN(L7,3+2*(SUMIFS(证据索引!$I$5:$I$124,证据索引!$A$5:$A$124,$A7,证据索引!$B$5:$B$124,L$4)&gt;=参数与锚点!$L$7))))</f>
        <v>4</v>
      </c>
      <c r="AI7" s="40" t="n">
        <f aca="false">IF($A7="","",IF(M7="",0,MIN(M7,3+2*(SUMIFS(证据索引!$I$5:$I$124,证据索引!$A$5:$A$124,$A7,证据索引!$B$5:$B$124,M$4)&gt;=参数与锚点!$L$7))))</f>
        <v>4</v>
      </c>
      <c r="AJ7" s="40" t="n">
        <f aca="false">IF($A7="","",IF(N7="",0,MIN(N7,3+2*(SUMIFS(证据索引!$I$5:$I$124,证据索引!$A$5:$A$124,$A7,证据索引!$B$5:$B$124,N$4)&gt;=参数与锚点!$L$7))))</f>
        <v>3</v>
      </c>
      <c r="AK7" s="40" t="n">
        <f aca="false">IF($A7="","",SUMPRODUCT((C7:N7&gt;Y7:AJ7)*1))</f>
        <v>2</v>
      </c>
    </row>
    <row r="8" customFormat="false" ht="48" hidden="false" customHeight="true" outlineLevel="0" collapsed="false">
      <c r="A8" s="56" t="s">
        <v>266</v>
      </c>
      <c r="B8" s="42" t="s">
        <v>297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44" t="n">
        <f aca="false">IF(A8="","",(Y8*参数与锚点!$D$5+Z8*参数与锚点!$D$6)/5)</f>
        <v>0</v>
      </c>
      <c r="P8" s="44" t="n">
        <f aca="false">IF(A8="","",(AA8*参数与锚点!$D$7+AB8*参数与锚点!$D$8)/5)</f>
        <v>0</v>
      </c>
      <c r="Q8" s="44" t="n">
        <f aca="false">IF(A8="","",(AC8*参数与锚点!$D$9+AD8*参数与锚点!$D$10)/5)</f>
        <v>0</v>
      </c>
      <c r="R8" s="44" t="n">
        <f aca="false">IF(A8="","",(AE8*参数与锚点!$D$11+AF8*参数与锚点!$D$12)/5)</f>
        <v>0</v>
      </c>
      <c r="S8" s="44" t="n">
        <f aca="false">IF(A8="","",(AG8*参数与锚点!$D$13+AH8*参数与锚点!$D$14)/5)</f>
        <v>0</v>
      </c>
      <c r="T8" s="44" t="n">
        <f aca="false">IF(A8="","",(AI8*参数与锚点!$D$15+AJ8*参数与锚点!$D$16)/5)</f>
        <v>0</v>
      </c>
      <c r="U8" s="44" t="n">
        <f aca="false">IF(A8="","",SUM(O8:T8))</f>
        <v>0</v>
      </c>
      <c r="V8" s="45" t="n">
        <f aca="false">IF(A8="","",COUNT(C8:N8)/12)</f>
        <v>0</v>
      </c>
      <c r="W8" s="42"/>
      <c r="X8" s="42"/>
      <c r="Y8" s="40" t="n">
        <f aca="false">IF($A8="","",IF(C8="",0,MIN(C8,3+2*(SUMIFS(证据索引!$I$5:$I$124,证据索引!$A$5:$A$124,$A8,证据索引!$B$5:$B$124,C$4)&gt;=参数与锚点!$L$7))))</f>
        <v>0</v>
      </c>
      <c r="Z8" s="40" t="n">
        <f aca="false">IF($A8="","",IF(D8="",0,MIN(D8,3+2*(SUMIFS(证据索引!$I$5:$I$124,证据索引!$A$5:$A$124,$A8,证据索引!$B$5:$B$124,D$4)&gt;=参数与锚点!$L$7))))</f>
        <v>0</v>
      </c>
      <c r="AA8" s="40" t="n">
        <f aca="false">IF($A8="","",IF(E8="",0,MIN(E8,3+2*(SUMIFS(证据索引!$I$5:$I$124,证据索引!$A$5:$A$124,$A8,证据索引!$B$5:$B$124,E$4)&gt;=参数与锚点!$L$7))))</f>
        <v>0</v>
      </c>
      <c r="AB8" s="40" t="n">
        <f aca="false">IF($A8="","",IF(F8="",0,MIN(F8,3+2*(SUMIFS(证据索引!$I$5:$I$124,证据索引!$A$5:$A$124,$A8,证据索引!$B$5:$B$124,F$4)&gt;=参数与锚点!$L$7))))</f>
        <v>0</v>
      </c>
      <c r="AC8" s="40" t="n">
        <f aca="false">IF($A8="","",IF(G8="",0,MIN(G8,3+2*(SUMIFS(证据索引!$I$5:$I$124,证据索引!$A$5:$A$124,$A8,证据索引!$B$5:$B$124,G$4)&gt;=参数与锚点!$L$7))))</f>
        <v>0</v>
      </c>
      <c r="AD8" s="40" t="n">
        <f aca="false">IF($A8="","",IF(H8="",0,MIN(H8,3+2*(SUMIFS(证据索引!$I$5:$I$124,证据索引!$A$5:$A$124,$A8,证据索引!$B$5:$B$124,H$4)&gt;=参数与锚点!$L$7))))</f>
        <v>0</v>
      </c>
      <c r="AE8" s="40" t="n">
        <f aca="false">IF($A8="","",IF(I8="",0,MIN(I8,3+2*(SUMIFS(证据索引!$I$5:$I$124,证据索引!$A$5:$A$124,$A8,证据索引!$B$5:$B$124,I$4)&gt;=参数与锚点!$L$7))))</f>
        <v>0</v>
      </c>
      <c r="AF8" s="40" t="n">
        <f aca="false">IF($A8="","",IF(J8="",0,MIN(J8,3+2*(SUMIFS(证据索引!$I$5:$I$124,证据索引!$A$5:$A$124,$A8,证据索引!$B$5:$B$124,J$4)&gt;=参数与锚点!$L$7))))</f>
        <v>0</v>
      </c>
      <c r="AG8" s="40" t="n">
        <f aca="false">IF($A8="","",IF(K8="",0,MIN(K8,3+2*(SUMIFS(证据索引!$I$5:$I$124,证据索引!$A$5:$A$124,$A8,证据索引!$B$5:$B$124,K$4)&gt;=参数与锚点!$L$7))))</f>
        <v>0</v>
      </c>
      <c r="AH8" s="40" t="n">
        <f aca="false">IF($A8="","",IF(L8="",0,MIN(L8,3+2*(SUMIFS(证据索引!$I$5:$I$124,证据索引!$A$5:$A$124,$A8,证据索引!$B$5:$B$124,L$4)&gt;=参数与锚点!$L$7))))</f>
        <v>0</v>
      </c>
      <c r="AI8" s="40" t="n">
        <f aca="false">IF($A8="","",IF(M8="",0,MIN(M8,3+2*(SUMIFS(证据索引!$I$5:$I$124,证据索引!$A$5:$A$124,$A8,证据索引!$B$5:$B$124,M$4)&gt;=参数与锚点!$L$7))))</f>
        <v>0</v>
      </c>
      <c r="AJ8" s="40" t="n">
        <f aca="false">IF($A8="","",IF(N8="",0,MIN(N8,3+2*(SUMIFS(证据索引!$I$5:$I$124,证据索引!$A$5:$A$124,$A8,证据索引!$B$5:$B$124,N$4)&gt;=参数与锚点!$L$7))))</f>
        <v>0</v>
      </c>
      <c r="AK8" s="40" t="n">
        <f aca="false">IF($A8="","",SUMPRODUCT((C8:N8&gt;Y8:AJ8)*1))</f>
        <v>0</v>
      </c>
    </row>
    <row r="9" customFormat="false" ht="48" hidden="false" customHeight="true" outlineLevel="0" collapsed="false">
      <c r="A9" s="56" t="s">
        <v>267</v>
      </c>
      <c r="B9" s="42" t="s">
        <v>297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44" t="n">
        <f aca="false">IF(A9="","",(Y9*参数与锚点!$D$5+Z9*参数与锚点!$D$6)/5)</f>
        <v>0</v>
      </c>
      <c r="P9" s="44" t="n">
        <f aca="false">IF(A9="","",(AA9*参数与锚点!$D$7+AB9*参数与锚点!$D$8)/5)</f>
        <v>0</v>
      </c>
      <c r="Q9" s="44" t="n">
        <f aca="false">IF(A9="","",(AC9*参数与锚点!$D$9+AD9*参数与锚点!$D$10)/5)</f>
        <v>0</v>
      </c>
      <c r="R9" s="44" t="n">
        <f aca="false">IF(A9="","",(AE9*参数与锚点!$D$11+AF9*参数与锚点!$D$12)/5)</f>
        <v>0</v>
      </c>
      <c r="S9" s="44" t="n">
        <f aca="false">IF(A9="","",(AG9*参数与锚点!$D$13+AH9*参数与锚点!$D$14)/5)</f>
        <v>0</v>
      </c>
      <c r="T9" s="44" t="n">
        <f aca="false">IF(A9="","",(AI9*参数与锚点!$D$15+AJ9*参数与锚点!$D$16)/5)</f>
        <v>0</v>
      </c>
      <c r="U9" s="44" t="n">
        <f aca="false">IF(A9="","",SUM(O9:T9))</f>
        <v>0</v>
      </c>
      <c r="V9" s="45" t="n">
        <f aca="false">IF(A9="","",COUNT(C9:N9)/12)</f>
        <v>0</v>
      </c>
      <c r="W9" s="42"/>
      <c r="X9" s="42"/>
      <c r="Y9" s="40" t="n">
        <f aca="false">IF($A9="","",IF(C9="",0,MIN(C9,3+2*(SUMIFS(证据索引!$I$5:$I$124,证据索引!$A$5:$A$124,$A9,证据索引!$B$5:$B$124,C$4)&gt;=参数与锚点!$L$7))))</f>
        <v>0</v>
      </c>
      <c r="Z9" s="40" t="n">
        <f aca="false">IF($A9="","",IF(D9="",0,MIN(D9,3+2*(SUMIFS(证据索引!$I$5:$I$124,证据索引!$A$5:$A$124,$A9,证据索引!$B$5:$B$124,D$4)&gt;=参数与锚点!$L$7))))</f>
        <v>0</v>
      </c>
      <c r="AA9" s="40" t="n">
        <f aca="false">IF($A9="","",IF(E9="",0,MIN(E9,3+2*(SUMIFS(证据索引!$I$5:$I$124,证据索引!$A$5:$A$124,$A9,证据索引!$B$5:$B$124,E$4)&gt;=参数与锚点!$L$7))))</f>
        <v>0</v>
      </c>
      <c r="AB9" s="40" t="n">
        <f aca="false">IF($A9="","",IF(F9="",0,MIN(F9,3+2*(SUMIFS(证据索引!$I$5:$I$124,证据索引!$A$5:$A$124,$A9,证据索引!$B$5:$B$124,F$4)&gt;=参数与锚点!$L$7))))</f>
        <v>0</v>
      </c>
      <c r="AC9" s="40" t="n">
        <f aca="false">IF($A9="","",IF(G9="",0,MIN(G9,3+2*(SUMIFS(证据索引!$I$5:$I$124,证据索引!$A$5:$A$124,$A9,证据索引!$B$5:$B$124,G$4)&gt;=参数与锚点!$L$7))))</f>
        <v>0</v>
      </c>
      <c r="AD9" s="40" t="n">
        <f aca="false">IF($A9="","",IF(H9="",0,MIN(H9,3+2*(SUMIFS(证据索引!$I$5:$I$124,证据索引!$A$5:$A$124,$A9,证据索引!$B$5:$B$124,H$4)&gt;=参数与锚点!$L$7))))</f>
        <v>0</v>
      </c>
      <c r="AE9" s="40" t="n">
        <f aca="false">IF($A9="","",IF(I9="",0,MIN(I9,3+2*(SUMIFS(证据索引!$I$5:$I$124,证据索引!$A$5:$A$124,$A9,证据索引!$B$5:$B$124,I$4)&gt;=参数与锚点!$L$7))))</f>
        <v>0</v>
      </c>
      <c r="AF9" s="40" t="n">
        <f aca="false">IF($A9="","",IF(J9="",0,MIN(J9,3+2*(SUMIFS(证据索引!$I$5:$I$124,证据索引!$A$5:$A$124,$A9,证据索引!$B$5:$B$124,J$4)&gt;=参数与锚点!$L$7))))</f>
        <v>0</v>
      </c>
      <c r="AG9" s="40" t="n">
        <f aca="false">IF($A9="","",IF(K9="",0,MIN(K9,3+2*(SUMIFS(证据索引!$I$5:$I$124,证据索引!$A$5:$A$124,$A9,证据索引!$B$5:$B$124,K$4)&gt;=参数与锚点!$L$7))))</f>
        <v>0</v>
      </c>
      <c r="AH9" s="40" t="n">
        <f aca="false">IF($A9="","",IF(L9="",0,MIN(L9,3+2*(SUMIFS(证据索引!$I$5:$I$124,证据索引!$A$5:$A$124,$A9,证据索引!$B$5:$B$124,L$4)&gt;=参数与锚点!$L$7))))</f>
        <v>0</v>
      </c>
      <c r="AI9" s="40" t="n">
        <f aca="false">IF($A9="","",IF(M9="",0,MIN(M9,3+2*(SUMIFS(证据索引!$I$5:$I$124,证据索引!$A$5:$A$124,$A9,证据索引!$B$5:$B$124,M$4)&gt;=参数与锚点!$L$7))))</f>
        <v>0</v>
      </c>
      <c r="AJ9" s="40" t="n">
        <f aca="false">IF($A9="","",IF(N9="",0,MIN(N9,3+2*(SUMIFS(证据索引!$I$5:$I$124,证据索引!$A$5:$A$124,$A9,证据索引!$B$5:$B$124,N$4)&gt;=参数与锚点!$L$7))))</f>
        <v>0</v>
      </c>
      <c r="AK9" s="40" t="n">
        <f aca="false">IF($A9="","",SUMPRODUCT((C9:N9&gt;Y9:AJ9)*1))</f>
        <v>0</v>
      </c>
    </row>
    <row r="10" customFormat="false" ht="48" hidden="false" customHeight="true" outlineLevel="0" collapsed="false">
      <c r="A10" s="56" t="s">
        <v>268</v>
      </c>
      <c r="B10" s="42" t="s">
        <v>297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44" t="n">
        <f aca="false">IF(A10="","",(Y10*参数与锚点!$D$5+Z10*参数与锚点!$D$6)/5)</f>
        <v>0</v>
      </c>
      <c r="P10" s="44" t="n">
        <f aca="false">IF(A10="","",(AA10*参数与锚点!$D$7+AB10*参数与锚点!$D$8)/5)</f>
        <v>0</v>
      </c>
      <c r="Q10" s="44" t="n">
        <f aca="false">IF(A10="","",(AC10*参数与锚点!$D$9+AD10*参数与锚点!$D$10)/5)</f>
        <v>0</v>
      </c>
      <c r="R10" s="44" t="n">
        <f aca="false">IF(A10="","",(AE10*参数与锚点!$D$11+AF10*参数与锚点!$D$12)/5)</f>
        <v>0</v>
      </c>
      <c r="S10" s="44" t="n">
        <f aca="false">IF(A10="","",(AG10*参数与锚点!$D$13+AH10*参数与锚点!$D$14)/5)</f>
        <v>0</v>
      </c>
      <c r="T10" s="44" t="n">
        <f aca="false">IF(A10="","",(AI10*参数与锚点!$D$15+AJ10*参数与锚点!$D$16)/5)</f>
        <v>0</v>
      </c>
      <c r="U10" s="44" t="n">
        <f aca="false">IF(A10="","",SUM(O10:T10))</f>
        <v>0</v>
      </c>
      <c r="V10" s="45" t="n">
        <f aca="false">IF(A10="","",COUNT(C10:N10)/12)</f>
        <v>0</v>
      </c>
      <c r="W10" s="42"/>
      <c r="X10" s="42"/>
      <c r="Y10" s="40" t="n">
        <f aca="false">IF($A10="","",IF(C10="",0,MIN(C10,3+2*(SUMIFS(证据索引!$I$5:$I$124,证据索引!$A$5:$A$124,$A10,证据索引!$B$5:$B$124,C$4)&gt;=参数与锚点!$L$7))))</f>
        <v>0</v>
      </c>
      <c r="Z10" s="40" t="n">
        <f aca="false">IF($A10="","",IF(D10="",0,MIN(D10,3+2*(SUMIFS(证据索引!$I$5:$I$124,证据索引!$A$5:$A$124,$A10,证据索引!$B$5:$B$124,D$4)&gt;=参数与锚点!$L$7))))</f>
        <v>0</v>
      </c>
      <c r="AA10" s="40" t="n">
        <f aca="false">IF($A10="","",IF(E10="",0,MIN(E10,3+2*(SUMIFS(证据索引!$I$5:$I$124,证据索引!$A$5:$A$124,$A10,证据索引!$B$5:$B$124,E$4)&gt;=参数与锚点!$L$7))))</f>
        <v>0</v>
      </c>
      <c r="AB10" s="40" t="n">
        <f aca="false">IF($A10="","",IF(F10="",0,MIN(F10,3+2*(SUMIFS(证据索引!$I$5:$I$124,证据索引!$A$5:$A$124,$A10,证据索引!$B$5:$B$124,F$4)&gt;=参数与锚点!$L$7))))</f>
        <v>0</v>
      </c>
      <c r="AC10" s="40" t="n">
        <f aca="false">IF($A10="","",IF(G10="",0,MIN(G10,3+2*(SUMIFS(证据索引!$I$5:$I$124,证据索引!$A$5:$A$124,$A10,证据索引!$B$5:$B$124,G$4)&gt;=参数与锚点!$L$7))))</f>
        <v>0</v>
      </c>
      <c r="AD10" s="40" t="n">
        <f aca="false">IF($A10="","",IF(H10="",0,MIN(H10,3+2*(SUMIFS(证据索引!$I$5:$I$124,证据索引!$A$5:$A$124,$A10,证据索引!$B$5:$B$124,H$4)&gt;=参数与锚点!$L$7))))</f>
        <v>0</v>
      </c>
      <c r="AE10" s="40" t="n">
        <f aca="false">IF($A10="","",IF(I10="",0,MIN(I10,3+2*(SUMIFS(证据索引!$I$5:$I$124,证据索引!$A$5:$A$124,$A10,证据索引!$B$5:$B$124,I$4)&gt;=参数与锚点!$L$7))))</f>
        <v>0</v>
      </c>
      <c r="AF10" s="40" t="n">
        <f aca="false">IF($A10="","",IF(J10="",0,MIN(J10,3+2*(SUMIFS(证据索引!$I$5:$I$124,证据索引!$A$5:$A$124,$A10,证据索引!$B$5:$B$124,J$4)&gt;=参数与锚点!$L$7))))</f>
        <v>0</v>
      </c>
      <c r="AG10" s="40" t="n">
        <f aca="false">IF($A10="","",IF(K10="",0,MIN(K10,3+2*(SUMIFS(证据索引!$I$5:$I$124,证据索引!$A$5:$A$124,$A10,证据索引!$B$5:$B$124,K$4)&gt;=参数与锚点!$L$7))))</f>
        <v>0</v>
      </c>
      <c r="AH10" s="40" t="n">
        <f aca="false">IF($A10="","",IF(L10="",0,MIN(L10,3+2*(SUMIFS(证据索引!$I$5:$I$124,证据索引!$A$5:$A$124,$A10,证据索引!$B$5:$B$124,L$4)&gt;=参数与锚点!$L$7))))</f>
        <v>0</v>
      </c>
      <c r="AI10" s="40" t="n">
        <f aca="false">IF($A10="","",IF(M10="",0,MIN(M10,3+2*(SUMIFS(证据索引!$I$5:$I$124,证据索引!$A$5:$A$124,$A10,证据索引!$B$5:$B$124,M$4)&gt;=参数与锚点!$L$7))))</f>
        <v>0</v>
      </c>
      <c r="AJ10" s="40" t="n">
        <f aca="false">IF($A10="","",IF(N10="",0,MIN(N10,3+2*(SUMIFS(证据索引!$I$5:$I$124,证据索引!$A$5:$A$124,$A10,证据索引!$B$5:$B$124,N$4)&gt;=参数与锚点!$L$7))))</f>
        <v>0</v>
      </c>
      <c r="AK10" s="40" t="n">
        <f aca="false">IF($A10="","",SUMPRODUCT((C10:N10&gt;Y10:AJ10)*1))</f>
        <v>0</v>
      </c>
    </row>
    <row r="11" customFormat="false" ht="48" hidden="false" customHeight="true" outlineLevel="0" collapsed="false">
      <c r="A11" s="56" t="s">
        <v>269</v>
      </c>
      <c r="B11" s="42" t="s">
        <v>297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44" t="n">
        <f aca="false">IF(A11="","",(Y11*参数与锚点!$D$5+Z11*参数与锚点!$D$6)/5)</f>
        <v>0</v>
      </c>
      <c r="P11" s="44" t="n">
        <f aca="false">IF(A11="","",(AA11*参数与锚点!$D$7+AB11*参数与锚点!$D$8)/5)</f>
        <v>0</v>
      </c>
      <c r="Q11" s="44" t="n">
        <f aca="false">IF(A11="","",(AC11*参数与锚点!$D$9+AD11*参数与锚点!$D$10)/5)</f>
        <v>0</v>
      </c>
      <c r="R11" s="44" t="n">
        <f aca="false">IF(A11="","",(AE11*参数与锚点!$D$11+AF11*参数与锚点!$D$12)/5)</f>
        <v>0</v>
      </c>
      <c r="S11" s="44" t="n">
        <f aca="false">IF(A11="","",(AG11*参数与锚点!$D$13+AH11*参数与锚点!$D$14)/5)</f>
        <v>0</v>
      </c>
      <c r="T11" s="44" t="n">
        <f aca="false">IF(A11="","",(AI11*参数与锚点!$D$15+AJ11*参数与锚点!$D$16)/5)</f>
        <v>0</v>
      </c>
      <c r="U11" s="44" t="n">
        <f aca="false">IF(A11="","",SUM(O11:T11))</f>
        <v>0</v>
      </c>
      <c r="V11" s="45" t="n">
        <f aca="false">IF(A11="","",COUNT(C11:N11)/12)</f>
        <v>0</v>
      </c>
      <c r="W11" s="42"/>
      <c r="X11" s="42"/>
      <c r="Y11" s="40" t="n">
        <f aca="false">IF($A11="","",IF(C11="",0,MIN(C11,3+2*(SUMIFS(证据索引!$I$5:$I$124,证据索引!$A$5:$A$124,$A11,证据索引!$B$5:$B$124,C$4)&gt;=参数与锚点!$L$7))))</f>
        <v>0</v>
      </c>
      <c r="Z11" s="40" t="n">
        <f aca="false">IF($A11="","",IF(D11="",0,MIN(D11,3+2*(SUMIFS(证据索引!$I$5:$I$124,证据索引!$A$5:$A$124,$A11,证据索引!$B$5:$B$124,D$4)&gt;=参数与锚点!$L$7))))</f>
        <v>0</v>
      </c>
      <c r="AA11" s="40" t="n">
        <f aca="false">IF($A11="","",IF(E11="",0,MIN(E11,3+2*(SUMIFS(证据索引!$I$5:$I$124,证据索引!$A$5:$A$124,$A11,证据索引!$B$5:$B$124,E$4)&gt;=参数与锚点!$L$7))))</f>
        <v>0</v>
      </c>
      <c r="AB11" s="40" t="n">
        <f aca="false">IF($A11="","",IF(F11="",0,MIN(F11,3+2*(SUMIFS(证据索引!$I$5:$I$124,证据索引!$A$5:$A$124,$A11,证据索引!$B$5:$B$124,F$4)&gt;=参数与锚点!$L$7))))</f>
        <v>0</v>
      </c>
      <c r="AC11" s="40" t="n">
        <f aca="false">IF($A11="","",IF(G11="",0,MIN(G11,3+2*(SUMIFS(证据索引!$I$5:$I$124,证据索引!$A$5:$A$124,$A11,证据索引!$B$5:$B$124,G$4)&gt;=参数与锚点!$L$7))))</f>
        <v>0</v>
      </c>
      <c r="AD11" s="40" t="n">
        <f aca="false">IF($A11="","",IF(H11="",0,MIN(H11,3+2*(SUMIFS(证据索引!$I$5:$I$124,证据索引!$A$5:$A$124,$A11,证据索引!$B$5:$B$124,H$4)&gt;=参数与锚点!$L$7))))</f>
        <v>0</v>
      </c>
      <c r="AE11" s="40" t="n">
        <f aca="false">IF($A11="","",IF(I11="",0,MIN(I11,3+2*(SUMIFS(证据索引!$I$5:$I$124,证据索引!$A$5:$A$124,$A11,证据索引!$B$5:$B$124,I$4)&gt;=参数与锚点!$L$7))))</f>
        <v>0</v>
      </c>
      <c r="AF11" s="40" t="n">
        <f aca="false">IF($A11="","",IF(J11="",0,MIN(J11,3+2*(SUMIFS(证据索引!$I$5:$I$124,证据索引!$A$5:$A$124,$A11,证据索引!$B$5:$B$124,J$4)&gt;=参数与锚点!$L$7))))</f>
        <v>0</v>
      </c>
      <c r="AG11" s="40" t="n">
        <f aca="false">IF($A11="","",IF(K11="",0,MIN(K11,3+2*(SUMIFS(证据索引!$I$5:$I$124,证据索引!$A$5:$A$124,$A11,证据索引!$B$5:$B$124,K$4)&gt;=参数与锚点!$L$7))))</f>
        <v>0</v>
      </c>
      <c r="AH11" s="40" t="n">
        <f aca="false">IF($A11="","",IF(L11="",0,MIN(L11,3+2*(SUMIFS(证据索引!$I$5:$I$124,证据索引!$A$5:$A$124,$A11,证据索引!$B$5:$B$124,L$4)&gt;=参数与锚点!$L$7))))</f>
        <v>0</v>
      </c>
      <c r="AI11" s="40" t="n">
        <f aca="false">IF($A11="","",IF(M11="",0,MIN(M11,3+2*(SUMIFS(证据索引!$I$5:$I$124,证据索引!$A$5:$A$124,$A11,证据索引!$B$5:$B$124,M$4)&gt;=参数与锚点!$L$7))))</f>
        <v>0</v>
      </c>
      <c r="AJ11" s="40" t="n">
        <f aca="false">IF($A11="","",IF(N11="",0,MIN(N11,3+2*(SUMIFS(证据索引!$I$5:$I$124,证据索引!$A$5:$A$124,$A11,证据索引!$B$5:$B$124,N$4)&gt;=参数与锚点!$L$7))))</f>
        <v>0</v>
      </c>
      <c r="AK11" s="40" t="n">
        <f aca="false">IF($A11="","",SUMPRODUCT((C11:N11&gt;Y11:AJ11)*1))</f>
        <v>0</v>
      </c>
    </row>
    <row r="12" customFormat="false" ht="48" hidden="false" customHeight="true" outlineLevel="0" collapsed="false">
      <c r="A12" s="56" t="s">
        <v>270</v>
      </c>
      <c r="B12" s="42" t="s">
        <v>297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44" t="n">
        <f aca="false">IF(A12="","",(Y12*参数与锚点!$D$5+Z12*参数与锚点!$D$6)/5)</f>
        <v>0</v>
      </c>
      <c r="P12" s="44" t="n">
        <f aca="false">IF(A12="","",(AA12*参数与锚点!$D$7+AB12*参数与锚点!$D$8)/5)</f>
        <v>0</v>
      </c>
      <c r="Q12" s="44" t="n">
        <f aca="false">IF(A12="","",(AC12*参数与锚点!$D$9+AD12*参数与锚点!$D$10)/5)</f>
        <v>0</v>
      </c>
      <c r="R12" s="44" t="n">
        <f aca="false">IF(A12="","",(AE12*参数与锚点!$D$11+AF12*参数与锚点!$D$12)/5)</f>
        <v>0</v>
      </c>
      <c r="S12" s="44" t="n">
        <f aca="false">IF(A12="","",(AG12*参数与锚点!$D$13+AH12*参数与锚点!$D$14)/5)</f>
        <v>0</v>
      </c>
      <c r="T12" s="44" t="n">
        <f aca="false">IF(A12="","",(AI12*参数与锚点!$D$15+AJ12*参数与锚点!$D$16)/5)</f>
        <v>0</v>
      </c>
      <c r="U12" s="44" t="n">
        <f aca="false">IF(A12="","",SUM(O12:T12))</f>
        <v>0</v>
      </c>
      <c r="V12" s="45" t="n">
        <f aca="false">IF(A12="","",COUNT(C12:N12)/12)</f>
        <v>0</v>
      </c>
      <c r="W12" s="42"/>
      <c r="X12" s="42"/>
      <c r="Y12" s="40" t="n">
        <f aca="false">IF($A12="","",IF(C12="",0,MIN(C12,3+2*(SUMIFS(证据索引!$I$5:$I$124,证据索引!$A$5:$A$124,$A12,证据索引!$B$5:$B$124,C$4)&gt;=参数与锚点!$L$7))))</f>
        <v>0</v>
      </c>
      <c r="Z12" s="40" t="n">
        <f aca="false">IF($A12="","",IF(D12="",0,MIN(D12,3+2*(SUMIFS(证据索引!$I$5:$I$124,证据索引!$A$5:$A$124,$A12,证据索引!$B$5:$B$124,D$4)&gt;=参数与锚点!$L$7))))</f>
        <v>0</v>
      </c>
      <c r="AA12" s="40" t="n">
        <f aca="false">IF($A12="","",IF(E12="",0,MIN(E12,3+2*(SUMIFS(证据索引!$I$5:$I$124,证据索引!$A$5:$A$124,$A12,证据索引!$B$5:$B$124,E$4)&gt;=参数与锚点!$L$7))))</f>
        <v>0</v>
      </c>
      <c r="AB12" s="40" t="n">
        <f aca="false">IF($A12="","",IF(F12="",0,MIN(F12,3+2*(SUMIFS(证据索引!$I$5:$I$124,证据索引!$A$5:$A$124,$A12,证据索引!$B$5:$B$124,F$4)&gt;=参数与锚点!$L$7))))</f>
        <v>0</v>
      </c>
      <c r="AC12" s="40" t="n">
        <f aca="false">IF($A12="","",IF(G12="",0,MIN(G12,3+2*(SUMIFS(证据索引!$I$5:$I$124,证据索引!$A$5:$A$124,$A12,证据索引!$B$5:$B$124,G$4)&gt;=参数与锚点!$L$7))))</f>
        <v>0</v>
      </c>
      <c r="AD12" s="40" t="n">
        <f aca="false">IF($A12="","",IF(H12="",0,MIN(H12,3+2*(SUMIFS(证据索引!$I$5:$I$124,证据索引!$A$5:$A$124,$A12,证据索引!$B$5:$B$124,H$4)&gt;=参数与锚点!$L$7))))</f>
        <v>0</v>
      </c>
      <c r="AE12" s="40" t="n">
        <f aca="false">IF($A12="","",IF(I12="",0,MIN(I12,3+2*(SUMIFS(证据索引!$I$5:$I$124,证据索引!$A$5:$A$124,$A12,证据索引!$B$5:$B$124,I$4)&gt;=参数与锚点!$L$7))))</f>
        <v>0</v>
      </c>
      <c r="AF12" s="40" t="n">
        <f aca="false">IF($A12="","",IF(J12="",0,MIN(J12,3+2*(SUMIFS(证据索引!$I$5:$I$124,证据索引!$A$5:$A$124,$A12,证据索引!$B$5:$B$124,J$4)&gt;=参数与锚点!$L$7))))</f>
        <v>0</v>
      </c>
      <c r="AG12" s="40" t="n">
        <f aca="false">IF($A12="","",IF(K12="",0,MIN(K12,3+2*(SUMIFS(证据索引!$I$5:$I$124,证据索引!$A$5:$A$124,$A12,证据索引!$B$5:$B$124,K$4)&gt;=参数与锚点!$L$7))))</f>
        <v>0</v>
      </c>
      <c r="AH12" s="40" t="n">
        <f aca="false">IF($A12="","",IF(L12="",0,MIN(L12,3+2*(SUMIFS(证据索引!$I$5:$I$124,证据索引!$A$5:$A$124,$A12,证据索引!$B$5:$B$124,L$4)&gt;=参数与锚点!$L$7))))</f>
        <v>0</v>
      </c>
      <c r="AI12" s="40" t="n">
        <f aca="false">IF($A12="","",IF(M12="",0,MIN(M12,3+2*(SUMIFS(证据索引!$I$5:$I$124,证据索引!$A$5:$A$124,$A12,证据索引!$B$5:$B$124,M$4)&gt;=参数与锚点!$L$7))))</f>
        <v>0</v>
      </c>
      <c r="AJ12" s="40" t="n">
        <f aca="false">IF($A12="","",IF(N12="",0,MIN(N12,3+2*(SUMIFS(证据索引!$I$5:$I$124,证据索引!$A$5:$A$124,$A12,证据索引!$B$5:$B$124,N$4)&gt;=参数与锚点!$L$7))))</f>
        <v>0</v>
      </c>
      <c r="AK12" s="40" t="n">
        <f aca="false">IF($A12="","",SUMPRODUCT((C12:N12&gt;Y12:AJ12)*1))</f>
        <v>0</v>
      </c>
    </row>
    <row r="13" customFormat="false" ht="48" hidden="false" customHeight="true" outlineLevel="0" collapsed="false">
      <c r="A13" s="56" t="s">
        <v>271</v>
      </c>
      <c r="B13" s="42" t="s">
        <v>297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44" t="n">
        <f aca="false">IF(A13="","",(Y13*参数与锚点!$D$5+Z13*参数与锚点!$D$6)/5)</f>
        <v>0</v>
      </c>
      <c r="P13" s="44" t="n">
        <f aca="false">IF(A13="","",(AA13*参数与锚点!$D$7+AB13*参数与锚点!$D$8)/5)</f>
        <v>0</v>
      </c>
      <c r="Q13" s="44" t="n">
        <f aca="false">IF(A13="","",(AC13*参数与锚点!$D$9+AD13*参数与锚点!$D$10)/5)</f>
        <v>0</v>
      </c>
      <c r="R13" s="44" t="n">
        <f aca="false">IF(A13="","",(AE13*参数与锚点!$D$11+AF13*参数与锚点!$D$12)/5)</f>
        <v>0</v>
      </c>
      <c r="S13" s="44" t="n">
        <f aca="false">IF(A13="","",(AG13*参数与锚点!$D$13+AH13*参数与锚点!$D$14)/5)</f>
        <v>0</v>
      </c>
      <c r="T13" s="44" t="n">
        <f aca="false">IF(A13="","",(AI13*参数与锚点!$D$15+AJ13*参数与锚点!$D$16)/5)</f>
        <v>0</v>
      </c>
      <c r="U13" s="44" t="n">
        <f aca="false">IF(A13="","",SUM(O13:T13))</f>
        <v>0</v>
      </c>
      <c r="V13" s="45" t="n">
        <f aca="false">IF(A13="","",COUNT(C13:N13)/12)</f>
        <v>0</v>
      </c>
      <c r="W13" s="42"/>
      <c r="X13" s="42"/>
      <c r="Y13" s="40" t="n">
        <f aca="false">IF($A13="","",IF(C13="",0,MIN(C13,3+2*(SUMIFS(证据索引!$I$5:$I$124,证据索引!$A$5:$A$124,$A13,证据索引!$B$5:$B$124,C$4)&gt;=参数与锚点!$L$7))))</f>
        <v>0</v>
      </c>
      <c r="Z13" s="40" t="n">
        <f aca="false">IF($A13="","",IF(D13="",0,MIN(D13,3+2*(SUMIFS(证据索引!$I$5:$I$124,证据索引!$A$5:$A$124,$A13,证据索引!$B$5:$B$124,D$4)&gt;=参数与锚点!$L$7))))</f>
        <v>0</v>
      </c>
      <c r="AA13" s="40" t="n">
        <f aca="false">IF($A13="","",IF(E13="",0,MIN(E13,3+2*(SUMIFS(证据索引!$I$5:$I$124,证据索引!$A$5:$A$124,$A13,证据索引!$B$5:$B$124,E$4)&gt;=参数与锚点!$L$7))))</f>
        <v>0</v>
      </c>
      <c r="AB13" s="40" t="n">
        <f aca="false">IF($A13="","",IF(F13="",0,MIN(F13,3+2*(SUMIFS(证据索引!$I$5:$I$124,证据索引!$A$5:$A$124,$A13,证据索引!$B$5:$B$124,F$4)&gt;=参数与锚点!$L$7))))</f>
        <v>0</v>
      </c>
      <c r="AC13" s="40" t="n">
        <f aca="false">IF($A13="","",IF(G13="",0,MIN(G13,3+2*(SUMIFS(证据索引!$I$5:$I$124,证据索引!$A$5:$A$124,$A13,证据索引!$B$5:$B$124,G$4)&gt;=参数与锚点!$L$7))))</f>
        <v>0</v>
      </c>
      <c r="AD13" s="40" t="n">
        <f aca="false">IF($A13="","",IF(H13="",0,MIN(H13,3+2*(SUMIFS(证据索引!$I$5:$I$124,证据索引!$A$5:$A$124,$A13,证据索引!$B$5:$B$124,H$4)&gt;=参数与锚点!$L$7))))</f>
        <v>0</v>
      </c>
      <c r="AE13" s="40" t="n">
        <f aca="false">IF($A13="","",IF(I13="",0,MIN(I13,3+2*(SUMIFS(证据索引!$I$5:$I$124,证据索引!$A$5:$A$124,$A13,证据索引!$B$5:$B$124,I$4)&gt;=参数与锚点!$L$7))))</f>
        <v>0</v>
      </c>
      <c r="AF13" s="40" t="n">
        <f aca="false">IF($A13="","",IF(J13="",0,MIN(J13,3+2*(SUMIFS(证据索引!$I$5:$I$124,证据索引!$A$5:$A$124,$A13,证据索引!$B$5:$B$124,J$4)&gt;=参数与锚点!$L$7))))</f>
        <v>0</v>
      </c>
      <c r="AG13" s="40" t="n">
        <f aca="false">IF($A13="","",IF(K13="",0,MIN(K13,3+2*(SUMIFS(证据索引!$I$5:$I$124,证据索引!$A$5:$A$124,$A13,证据索引!$B$5:$B$124,K$4)&gt;=参数与锚点!$L$7))))</f>
        <v>0</v>
      </c>
      <c r="AH13" s="40" t="n">
        <f aca="false">IF($A13="","",IF(L13="",0,MIN(L13,3+2*(SUMIFS(证据索引!$I$5:$I$124,证据索引!$A$5:$A$124,$A13,证据索引!$B$5:$B$124,L$4)&gt;=参数与锚点!$L$7))))</f>
        <v>0</v>
      </c>
      <c r="AI13" s="40" t="n">
        <f aca="false">IF($A13="","",IF(M13="",0,MIN(M13,3+2*(SUMIFS(证据索引!$I$5:$I$124,证据索引!$A$5:$A$124,$A13,证据索引!$B$5:$B$124,M$4)&gt;=参数与锚点!$L$7))))</f>
        <v>0</v>
      </c>
      <c r="AJ13" s="40" t="n">
        <f aca="false">IF($A13="","",IF(N13="",0,MIN(N13,3+2*(SUMIFS(证据索引!$I$5:$I$124,证据索引!$A$5:$A$124,$A13,证据索引!$B$5:$B$124,N$4)&gt;=参数与锚点!$L$7))))</f>
        <v>0</v>
      </c>
      <c r="AK13" s="40" t="n">
        <f aca="false">IF($A13="","",SUMPRODUCT((C13:N13&gt;Y13:AJ13)*1))</f>
        <v>0</v>
      </c>
    </row>
    <row r="14" customFormat="false" ht="48" hidden="false" customHeight="true" outlineLevel="0" collapsed="false">
      <c r="A14" s="58" t="s">
        <v>272</v>
      </c>
      <c r="B14" s="49" t="s">
        <v>297</v>
      </c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1" t="n">
        <f aca="false">IF(A14="","",(Y14*参数与锚点!$D$5+Z14*参数与锚点!$D$6)/5)</f>
        <v>0</v>
      </c>
      <c r="P14" s="51" t="n">
        <f aca="false">IF(A14="","",(AA14*参数与锚点!$D$7+AB14*参数与锚点!$D$8)/5)</f>
        <v>0</v>
      </c>
      <c r="Q14" s="51" t="n">
        <f aca="false">IF(A14="","",(AC14*参数与锚点!$D$9+AD14*参数与锚点!$D$10)/5)</f>
        <v>0</v>
      </c>
      <c r="R14" s="51" t="n">
        <f aca="false">IF(A14="","",(AE14*参数与锚点!$D$11+AF14*参数与锚点!$D$12)/5)</f>
        <v>0</v>
      </c>
      <c r="S14" s="51" t="n">
        <f aca="false">IF(A14="","",(AG14*参数与锚点!$D$13+AH14*参数与锚点!$D$14)/5)</f>
        <v>0</v>
      </c>
      <c r="T14" s="51" t="n">
        <f aca="false">IF(A14="","",(AI14*参数与锚点!$D$15+AJ14*参数与锚点!$D$16)/5)</f>
        <v>0</v>
      </c>
      <c r="U14" s="51" t="n">
        <f aca="false">IF(A14="","",SUM(O14:T14))</f>
        <v>0</v>
      </c>
      <c r="V14" s="52" t="n">
        <f aca="false">IF(A14="","",COUNT(C14:N14)/12)</f>
        <v>0</v>
      </c>
      <c r="W14" s="48"/>
      <c r="X14" s="48"/>
      <c r="Y14" s="40" t="n">
        <f aca="false">IF($A14="","",IF(C14="",0,MIN(C14,3+2*(SUMIFS(证据索引!$I$5:$I$124,证据索引!$A$5:$A$124,$A14,证据索引!$B$5:$B$124,C$4)&gt;=参数与锚点!$L$7))))</f>
        <v>0</v>
      </c>
      <c r="Z14" s="40" t="n">
        <f aca="false">IF($A14="","",IF(D14="",0,MIN(D14,3+2*(SUMIFS(证据索引!$I$5:$I$124,证据索引!$A$5:$A$124,$A14,证据索引!$B$5:$B$124,D$4)&gt;=参数与锚点!$L$7))))</f>
        <v>0</v>
      </c>
      <c r="AA14" s="40" t="n">
        <f aca="false">IF($A14="","",IF(E14="",0,MIN(E14,3+2*(SUMIFS(证据索引!$I$5:$I$124,证据索引!$A$5:$A$124,$A14,证据索引!$B$5:$B$124,E$4)&gt;=参数与锚点!$L$7))))</f>
        <v>0</v>
      </c>
      <c r="AB14" s="40" t="n">
        <f aca="false">IF($A14="","",IF(F14="",0,MIN(F14,3+2*(SUMIFS(证据索引!$I$5:$I$124,证据索引!$A$5:$A$124,$A14,证据索引!$B$5:$B$124,F$4)&gt;=参数与锚点!$L$7))))</f>
        <v>0</v>
      </c>
      <c r="AC14" s="40" t="n">
        <f aca="false">IF($A14="","",IF(G14="",0,MIN(G14,3+2*(SUMIFS(证据索引!$I$5:$I$124,证据索引!$A$5:$A$124,$A14,证据索引!$B$5:$B$124,G$4)&gt;=参数与锚点!$L$7))))</f>
        <v>0</v>
      </c>
      <c r="AD14" s="40" t="n">
        <f aca="false">IF($A14="","",IF(H14="",0,MIN(H14,3+2*(SUMIFS(证据索引!$I$5:$I$124,证据索引!$A$5:$A$124,$A14,证据索引!$B$5:$B$124,H$4)&gt;=参数与锚点!$L$7))))</f>
        <v>0</v>
      </c>
      <c r="AE14" s="40" t="n">
        <f aca="false">IF($A14="","",IF(I14="",0,MIN(I14,3+2*(SUMIFS(证据索引!$I$5:$I$124,证据索引!$A$5:$A$124,$A14,证据索引!$B$5:$B$124,I$4)&gt;=参数与锚点!$L$7))))</f>
        <v>0</v>
      </c>
      <c r="AF14" s="40" t="n">
        <f aca="false">IF($A14="","",IF(J14="",0,MIN(J14,3+2*(SUMIFS(证据索引!$I$5:$I$124,证据索引!$A$5:$A$124,$A14,证据索引!$B$5:$B$124,J$4)&gt;=参数与锚点!$L$7))))</f>
        <v>0</v>
      </c>
      <c r="AG14" s="40" t="n">
        <f aca="false">IF($A14="","",IF(K14="",0,MIN(K14,3+2*(SUMIFS(证据索引!$I$5:$I$124,证据索引!$A$5:$A$124,$A14,证据索引!$B$5:$B$124,K$4)&gt;=参数与锚点!$L$7))))</f>
        <v>0</v>
      </c>
      <c r="AH14" s="40" t="n">
        <f aca="false">IF($A14="","",IF(L14="",0,MIN(L14,3+2*(SUMIFS(证据索引!$I$5:$I$124,证据索引!$A$5:$A$124,$A14,证据索引!$B$5:$B$124,L$4)&gt;=参数与锚点!$L$7))))</f>
        <v>0</v>
      </c>
      <c r="AI14" s="40" t="n">
        <f aca="false">IF($A14="","",IF(M14="",0,MIN(M14,3+2*(SUMIFS(证据索引!$I$5:$I$124,证据索引!$A$5:$A$124,$A14,证据索引!$B$5:$B$124,M$4)&gt;=参数与锚点!$L$7))))</f>
        <v>0</v>
      </c>
      <c r="AJ14" s="40" t="n">
        <f aca="false">IF($A14="","",IF(N14="",0,MIN(N14,3+2*(SUMIFS(证据索引!$I$5:$I$124,证据索引!$A$5:$A$124,$A14,证据索引!$B$5:$B$124,N$4)&gt;=参数与锚点!$L$7))))</f>
        <v>0</v>
      </c>
      <c r="AK14" s="40" t="n">
        <f aca="false">IF($A14="","",SUMPRODUCT((C14:N14&gt;Y14:AJ14)*1))</f>
        <v>0</v>
      </c>
    </row>
  </sheetData>
  <mergeCells count="2">
    <mergeCell ref="A1:X1"/>
    <mergeCell ref="A2:X2"/>
  </mergeCells>
  <conditionalFormatting sqref="C5:N14">
    <cfRule type="colorScale" priority="2">
      <colorScale>
        <cfvo type="min" val="0"/>
        <cfvo type="percentile" val="50"/>
        <cfvo type="max" val="0"/>
        <color rgb="FFFDECEC"/>
        <color rgb="FFFFF7E6"/>
        <color rgb="FFEAF7ED"/>
      </colorScale>
    </cfRule>
  </conditionalFormatting>
  <conditionalFormatting sqref="U5:U14">
    <cfRule type="dataBar" priority="3">
      <dataBar showValue="1" minLength="10" maxLength="90">
        <cfvo type="min" val="0"/>
        <cfvo type="max" val="0"/>
        <color rgb="FF1D4ED8"/>
      </dataBar>
      <extLst>
        <ext xmlns:x14="http://schemas.microsoft.com/office/spreadsheetml/2009/9/main" uri="{B025F937-C7B1-47D3-B67F-A62EFF666E3E}">
          <x14:id>{1735261D-CBEB-4FF8-84D3-E83A101CB5AC}</x14:id>
        </ext>
      </extLst>
    </cfRule>
  </conditionalFormatting>
  <conditionalFormatting sqref="V5:V14">
    <cfRule type="dataBar" priority="4">
      <dataBar showValue="1" minLength="10" maxLength="90">
        <cfvo type="min" val="0"/>
        <cfvo type="max" val="0"/>
        <color rgb="FF0F766E"/>
      </dataBar>
      <extLst>
        <ext xmlns:x14="http://schemas.microsoft.com/office/spreadsheetml/2009/9/main" uri="{B025F937-C7B1-47D3-B67F-A62EFF666E3E}">
          <x14:id>{9DDBB984-EBB0-42AE-8D6F-D050E4E6EBA7}</x14:id>
        </ext>
      </extLst>
    </cfRule>
  </conditionalFormatting>
  <conditionalFormatting sqref="B5:B14">
    <cfRule type="containsText" priority="5" operator="containsText" aboveAverage="0" equalAverage="0" bottom="0" percent="0" rank="0" text="已达成共识" dxfId="0">
      <formula>NOT(ISERROR(SEARCH("已达成共识",B5)))</formula>
    </cfRule>
    <cfRule type="containsText" priority="6" operator="containsText" aboveAverage="0" equalAverage="0" bottom="0" percent="0" rank="0" text="评审中" dxfId="1">
      <formula>NOT(ISERROR(SEARCH("评审中",B5)))</formula>
    </cfRule>
  </conditionalFormatting>
  <dataValidations count="3">
    <dataValidation allowBlank="false" errorStyle="stop" operator="between" showDropDown="false" showErrorMessage="false" showInputMessage="false" sqref="A5:A14" type="list">
      <formula1>项目清单!$A$5:$A$14</formula1>
      <formula2>0</formula2>
    </dataValidation>
    <dataValidation allowBlank="false" errorStyle="stop" operator="between" showDropDown="false" showErrorMessage="false" showInputMessage="false" sqref="B5:B14" type="list">
      <formula1>"未评,评审中,已达成共识"</formula1>
      <formula2>0</formula2>
    </dataValidation>
    <dataValidation allowBlank="false" errorStyle="stop" operator="between" showDropDown="false" showErrorMessage="false" showInputMessage="false" sqref="C5:N14" type="whole">
      <formula1>0</formula1>
      <formula2>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35261D-CBEB-4FF8-84D3-E83A101CB5AC}">
            <x14:dataBar minLength="10" maxLength="90" axisPosition="none" gradient="true">
              <x14:cfvo type="min"/>
              <x14:cfvo type="max"/>
              <x14:negativeFillColor rgb="FF1D4ED8"/>
              <x14:axisColor rgb="FF000000"/>
            </x14:dataBar>
          </x14:cfRule>
          <xm:sqref>U5:U14</xm:sqref>
        </x14:conditionalFormatting>
        <x14:conditionalFormatting xmlns:xm="http://schemas.microsoft.com/office/excel/2006/main">
          <x14:cfRule type="dataBar" id="{9DDBB984-EBB0-42AE-8D6F-D050E4E6EBA7}">
            <x14:dataBar minLength="10" maxLength="90" axisPosition="none" gradient="true">
              <x14:cfvo type="min"/>
              <x14:cfvo type="max"/>
              <x14:negativeFillColor rgb="FF0F766E"/>
              <x14:axisColor rgb="FF000000"/>
            </x14:dataBar>
          </x14:cfRule>
          <xm:sqref>V5:V14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5"/>
    <col collapsed="false" customWidth="true" hidden="false" outlineLevel="0" max="4" min="4" style="0" width="13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2"/>
  </cols>
  <sheetData>
    <row r="1" customFormat="false" ht="33.75" hidden="false" customHeight="true" outlineLevel="0" collapsed="false">
      <c r="A1" s="22" t="s">
        <v>298</v>
      </c>
      <c r="B1" s="22"/>
      <c r="C1" s="22"/>
      <c r="D1" s="22"/>
      <c r="E1" s="22"/>
      <c r="F1" s="22"/>
      <c r="G1" s="22"/>
      <c r="H1" s="22"/>
      <c r="I1" s="22"/>
    </row>
    <row r="2" customFormat="false" ht="30" hidden="false" customHeight="true" outlineLevel="0" collapsed="false">
      <c r="A2" s="2" t="s">
        <v>299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4" t="s">
        <v>201</v>
      </c>
      <c r="B4" s="5" t="s">
        <v>300</v>
      </c>
      <c r="C4" s="5" t="s">
        <v>60</v>
      </c>
      <c r="D4" s="5" t="s">
        <v>67</v>
      </c>
      <c r="E4" s="5" t="s">
        <v>301</v>
      </c>
      <c r="F4" s="5" t="s">
        <v>302</v>
      </c>
      <c r="G4" s="5" t="s">
        <v>303</v>
      </c>
      <c r="H4" s="5" t="s">
        <v>304</v>
      </c>
      <c r="I4" s="6" t="s">
        <v>305</v>
      </c>
    </row>
    <row r="5" customFormat="false" ht="33" hidden="false" customHeight="true" outlineLevel="0" collapsed="false">
      <c r="A5" s="7" t="s">
        <v>231</v>
      </c>
      <c r="B5" s="7" t="s">
        <v>69</v>
      </c>
      <c r="C5" s="8" t="s">
        <v>71</v>
      </c>
      <c r="D5" s="35" t="s">
        <v>94</v>
      </c>
      <c r="E5" s="35" t="s">
        <v>306</v>
      </c>
      <c r="F5" s="35" t="s">
        <v>307</v>
      </c>
      <c r="G5" s="35" t="s">
        <v>308</v>
      </c>
      <c r="H5" s="60"/>
      <c r="I5" s="39" t="n">
        <f aca="false">IFERROR(VLOOKUP(D5,参数与锚点!$K$5:$L$8,2,FALSE()),0)</f>
        <v>0.6</v>
      </c>
    </row>
    <row r="6" customFormat="false" ht="33" hidden="false" customHeight="true" outlineLevel="0" collapsed="false">
      <c r="A6" s="9" t="s">
        <v>231</v>
      </c>
      <c r="B6" s="9" t="s">
        <v>78</v>
      </c>
      <c r="C6" s="10" t="s">
        <v>79</v>
      </c>
      <c r="D6" s="42" t="s">
        <v>85</v>
      </c>
      <c r="E6" s="42" t="s">
        <v>306</v>
      </c>
      <c r="F6" s="42" t="s">
        <v>307</v>
      </c>
      <c r="G6" s="42" t="s">
        <v>308</v>
      </c>
      <c r="H6" s="61"/>
      <c r="I6" s="45" t="n">
        <f aca="false">IFERROR(VLOOKUP(D6,参数与锚点!$K$5:$L$8,2,FALSE()),0)</f>
        <v>0.25</v>
      </c>
    </row>
    <row r="7" customFormat="false" ht="33" hidden="false" customHeight="true" outlineLevel="0" collapsed="false">
      <c r="A7" s="9" t="s">
        <v>231</v>
      </c>
      <c r="B7" s="9" t="s">
        <v>86</v>
      </c>
      <c r="C7" s="10" t="s">
        <v>88</v>
      </c>
      <c r="D7" s="42" t="s">
        <v>94</v>
      </c>
      <c r="E7" s="42" t="s">
        <v>306</v>
      </c>
      <c r="F7" s="42" t="s">
        <v>307</v>
      </c>
      <c r="G7" s="42" t="s">
        <v>308</v>
      </c>
      <c r="H7" s="61"/>
      <c r="I7" s="45" t="n">
        <f aca="false">IFERROR(VLOOKUP(D7,参数与锚点!$K$5:$L$8,2,FALSE()),0)</f>
        <v>0.6</v>
      </c>
    </row>
    <row r="8" customFormat="false" ht="33" hidden="false" customHeight="true" outlineLevel="0" collapsed="false">
      <c r="A8" s="9" t="s">
        <v>231</v>
      </c>
      <c r="B8" s="9" t="s">
        <v>95</v>
      </c>
      <c r="C8" s="10" t="s">
        <v>96</v>
      </c>
      <c r="D8" s="42" t="s">
        <v>85</v>
      </c>
      <c r="E8" s="42" t="s">
        <v>306</v>
      </c>
      <c r="F8" s="42" t="s">
        <v>307</v>
      </c>
      <c r="G8" s="42" t="s">
        <v>308</v>
      </c>
      <c r="H8" s="61"/>
      <c r="I8" s="45" t="n">
        <f aca="false">IFERROR(VLOOKUP(D8,参数与锚点!$K$5:$L$8,2,FALSE()),0)</f>
        <v>0.25</v>
      </c>
    </row>
    <row r="9" customFormat="false" ht="33" hidden="false" customHeight="true" outlineLevel="0" collapsed="false">
      <c r="A9" s="9" t="s">
        <v>231</v>
      </c>
      <c r="B9" s="9" t="s">
        <v>103</v>
      </c>
      <c r="C9" s="9" t="s">
        <v>105</v>
      </c>
      <c r="D9" s="42" t="s">
        <v>94</v>
      </c>
      <c r="E9" s="42" t="s">
        <v>306</v>
      </c>
      <c r="F9" s="42" t="s">
        <v>307</v>
      </c>
      <c r="G9" s="42" t="s">
        <v>308</v>
      </c>
      <c r="H9" s="61"/>
      <c r="I9" s="45" t="n">
        <f aca="false">IFERROR(VLOOKUP(D9,参数与锚点!$K$5:$L$8,2,FALSE()),0)</f>
        <v>0.6</v>
      </c>
    </row>
    <row r="10" customFormat="false" ht="33" hidden="false" customHeight="true" outlineLevel="0" collapsed="false">
      <c r="A10" s="9" t="s">
        <v>231</v>
      </c>
      <c r="B10" s="9" t="s">
        <v>111</v>
      </c>
      <c r="C10" s="10" t="s">
        <v>112</v>
      </c>
      <c r="D10" s="42" t="s">
        <v>85</v>
      </c>
      <c r="E10" s="42" t="s">
        <v>306</v>
      </c>
      <c r="F10" s="42" t="s">
        <v>307</v>
      </c>
      <c r="G10" s="42" t="s">
        <v>308</v>
      </c>
      <c r="H10" s="61"/>
      <c r="I10" s="45" t="n">
        <f aca="false">IFERROR(VLOOKUP(D10,参数与锚点!$K$5:$L$8,2,FALSE()),0)</f>
        <v>0.25</v>
      </c>
    </row>
    <row r="11" customFormat="false" ht="33" hidden="false" customHeight="true" outlineLevel="0" collapsed="false">
      <c r="A11" s="9" t="s">
        <v>231</v>
      </c>
      <c r="B11" s="9" t="s">
        <v>118</v>
      </c>
      <c r="C11" s="10" t="s">
        <v>120</v>
      </c>
      <c r="D11" s="42" t="s">
        <v>94</v>
      </c>
      <c r="E11" s="42" t="s">
        <v>306</v>
      </c>
      <c r="F11" s="42" t="s">
        <v>307</v>
      </c>
      <c r="G11" s="42" t="s">
        <v>308</v>
      </c>
      <c r="H11" s="61"/>
      <c r="I11" s="45" t="n">
        <f aca="false">IFERROR(VLOOKUP(D11,参数与锚点!$K$5:$L$8,2,FALSE()),0)</f>
        <v>0.6</v>
      </c>
    </row>
    <row r="12" customFormat="false" ht="33" hidden="false" customHeight="true" outlineLevel="0" collapsed="false">
      <c r="A12" s="9" t="s">
        <v>231</v>
      </c>
      <c r="B12" s="9" t="s">
        <v>128</v>
      </c>
      <c r="C12" s="10" t="s">
        <v>129</v>
      </c>
      <c r="D12" s="42" t="s">
        <v>94</v>
      </c>
      <c r="E12" s="42" t="s">
        <v>306</v>
      </c>
      <c r="F12" s="42" t="s">
        <v>307</v>
      </c>
      <c r="G12" s="42" t="s">
        <v>308</v>
      </c>
      <c r="H12" s="61"/>
      <c r="I12" s="45" t="n">
        <f aca="false">IFERROR(VLOOKUP(D12,参数与锚点!$K$5:$L$8,2,FALSE()),0)</f>
        <v>0.6</v>
      </c>
    </row>
    <row r="13" customFormat="false" ht="33" hidden="false" customHeight="true" outlineLevel="0" collapsed="false">
      <c r="A13" s="9" t="s">
        <v>231</v>
      </c>
      <c r="B13" s="9" t="s">
        <v>136</v>
      </c>
      <c r="C13" s="10" t="s">
        <v>138</v>
      </c>
      <c r="D13" s="42" t="s">
        <v>94</v>
      </c>
      <c r="E13" s="42" t="s">
        <v>306</v>
      </c>
      <c r="F13" s="42" t="s">
        <v>307</v>
      </c>
      <c r="G13" s="42" t="s">
        <v>308</v>
      </c>
      <c r="H13" s="61"/>
      <c r="I13" s="45" t="n">
        <f aca="false">IFERROR(VLOOKUP(D13,参数与锚点!$K$5:$L$8,2,FALSE()),0)</f>
        <v>0.6</v>
      </c>
    </row>
    <row r="14" customFormat="false" ht="33" hidden="false" customHeight="true" outlineLevel="0" collapsed="false">
      <c r="A14" s="9" t="s">
        <v>231</v>
      </c>
      <c r="B14" s="9" t="s">
        <v>145</v>
      </c>
      <c r="C14" s="10" t="s">
        <v>146</v>
      </c>
      <c r="D14" s="42" t="s">
        <v>85</v>
      </c>
      <c r="E14" s="42" t="s">
        <v>306</v>
      </c>
      <c r="F14" s="42" t="s">
        <v>307</v>
      </c>
      <c r="G14" s="42" t="s">
        <v>308</v>
      </c>
      <c r="H14" s="61"/>
      <c r="I14" s="45" t="n">
        <f aca="false">IFERROR(VLOOKUP(D14,参数与锚点!$K$5:$L$8,2,FALSE()),0)</f>
        <v>0.25</v>
      </c>
    </row>
    <row r="15" customFormat="false" ht="33" hidden="false" customHeight="true" outlineLevel="0" collapsed="false">
      <c r="A15" s="9" t="s">
        <v>231</v>
      </c>
      <c r="B15" s="9" t="s">
        <v>154</v>
      </c>
      <c r="C15" s="10" t="s">
        <v>156</v>
      </c>
      <c r="D15" s="42" t="s">
        <v>94</v>
      </c>
      <c r="E15" s="42" t="s">
        <v>306</v>
      </c>
      <c r="F15" s="42" t="s">
        <v>307</v>
      </c>
      <c r="G15" s="42" t="s">
        <v>308</v>
      </c>
      <c r="H15" s="61"/>
      <c r="I15" s="45" t="n">
        <f aca="false">IFERROR(VLOOKUP(D15,参数与锚点!$K$5:$L$8,2,FALSE()),0)</f>
        <v>0.6</v>
      </c>
    </row>
    <row r="16" customFormat="false" ht="33" hidden="false" customHeight="true" outlineLevel="0" collapsed="false">
      <c r="A16" s="9" t="s">
        <v>231</v>
      </c>
      <c r="B16" s="9" t="s">
        <v>164</v>
      </c>
      <c r="C16" s="10" t="s">
        <v>165</v>
      </c>
      <c r="D16" s="42" t="s">
        <v>85</v>
      </c>
      <c r="E16" s="42" t="s">
        <v>306</v>
      </c>
      <c r="F16" s="42" t="s">
        <v>307</v>
      </c>
      <c r="G16" s="42" t="s">
        <v>308</v>
      </c>
      <c r="H16" s="61"/>
      <c r="I16" s="45" t="n">
        <f aca="false">IFERROR(VLOOKUP(D16,参数与锚点!$K$5:$L$8,2,FALSE()),0)</f>
        <v>0.25</v>
      </c>
    </row>
    <row r="17" customFormat="false" ht="33" hidden="false" customHeight="true" outlineLevel="0" collapsed="false">
      <c r="A17" s="9" t="s">
        <v>244</v>
      </c>
      <c r="B17" s="9" t="s">
        <v>69</v>
      </c>
      <c r="C17" s="10" t="s">
        <v>71</v>
      </c>
      <c r="D17" s="42" t="s">
        <v>94</v>
      </c>
      <c r="E17" s="42" t="s">
        <v>306</v>
      </c>
      <c r="F17" s="42" t="s">
        <v>307</v>
      </c>
      <c r="G17" s="42" t="s">
        <v>308</v>
      </c>
      <c r="H17" s="61"/>
      <c r="I17" s="45" t="n">
        <f aca="false">IFERROR(VLOOKUP(D17,参数与锚点!$K$5:$L$8,2,FALSE()),0)</f>
        <v>0.6</v>
      </c>
    </row>
    <row r="18" customFormat="false" ht="33" hidden="false" customHeight="true" outlineLevel="0" collapsed="false">
      <c r="A18" s="9" t="s">
        <v>244</v>
      </c>
      <c r="B18" s="9" t="s">
        <v>78</v>
      </c>
      <c r="C18" s="10" t="s">
        <v>79</v>
      </c>
      <c r="D18" s="42" t="s">
        <v>85</v>
      </c>
      <c r="E18" s="42" t="s">
        <v>306</v>
      </c>
      <c r="F18" s="42" t="s">
        <v>307</v>
      </c>
      <c r="G18" s="42" t="s">
        <v>308</v>
      </c>
      <c r="H18" s="61"/>
      <c r="I18" s="45" t="n">
        <f aca="false">IFERROR(VLOOKUP(D18,参数与锚点!$K$5:$L$8,2,FALSE()),0)</f>
        <v>0.25</v>
      </c>
    </row>
    <row r="19" customFormat="false" ht="33" hidden="false" customHeight="true" outlineLevel="0" collapsed="false">
      <c r="A19" s="9" t="s">
        <v>244</v>
      </c>
      <c r="B19" s="9" t="s">
        <v>86</v>
      </c>
      <c r="C19" s="10" t="s">
        <v>88</v>
      </c>
      <c r="D19" s="42" t="s">
        <v>94</v>
      </c>
      <c r="E19" s="42" t="s">
        <v>306</v>
      </c>
      <c r="F19" s="42" t="s">
        <v>307</v>
      </c>
      <c r="G19" s="42" t="s">
        <v>308</v>
      </c>
      <c r="H19" s="61"/>
      <c r="I19" s="45" t="n">
        <f aca="false">IFERROR(VLOOKUP(D19,参数与锚点!$K$5:$L$8,2,FALSE()),0)</f>
        <v>0.6</v>
      </c>
    </row>
    <row r="20" customFormat="false" ht="33" hidden="false" customHeight="true" outlineLevel="0" collapsed="false">
      <c r="A20" s="9" t="s">
        <v>244</v>
      </c>
      <c r="B20" s="9" t="s">
        <v>95</v>
      </c>
      <c r="C20" s="10" t="s">
        <v>96</v>
      </c>
      <c r="D20" s="42" t="s">
        <v>85</v>
      </c>
      <c r="E20" s="42" t="s">
        <v>306</v>
      </c>
      <c r="F20" s="42" t="s">
        <v>307</v>
      </c>
      <c r="G20" s="42" t="s">
        <v>308</v>
      </c>
      <c r="H20" s="61"/>
      <c r="I20" s="45" t="n">
        <f aca="false">IFERROR(VLOOKUP(D20,参数与锚点!$K$5:$L$8,2,FALSE()),0)</f>
        <v>0.25</v>
      </c>
    </row>
    <row r="21" customFormat="false" ht="33" hidden="false" customHeight="true" outlineLevel="0" collapsed="false">
      <c r="A21" s="9" t="s">
        <v>244</v>
      </c>
      <c r="B21" s="9" t="s">
        <v>103</v>
      </c>
      <c r="C21" s="9" t="s">
        <v>105</v>
      </c>
      <c r="D21" s="42" t="s">
        <v>94</v>
      </c>
      <c r="E21" s="42" t="s">
        <v>306</v>
      </c>
      <c r="F21" s="42" t="s">
        <v>307</v>
      </c>
      <c r="G21" s="42" t="s">
        <v>308</v>
      </c>
      <c r="H21" s="61"/>
      <c r="I21" s="45" t="n">
        <f aca="false">IFERROR(VLOOKUP(D21,参数与锚点!$K$5:$L$8,2,FALSE()),0)</f>
        <v>0.6</v>
      </c>
    </row>
    <row r="22" customFormat="false" ht="33" hidden="false" customHeight="true" outlineLevel="0" collapsed="false">
      <c r="A22" s="9" t="s">
        <v>244</v>
      </c>
      <c r="B22" s="9" t="s">
        <v>111</v>
      </c>
      <c r="C22" s="10" t="s">
        <v>112</v>
      </c>
      <c r="D22" s="42" t="s">
        <v>85</v>
      </c>
      <c r="E22" s="42" t="s">
        <v>306</v>
      </c>
      <c r="F22" s="42" t="s">
        <v>307</v>
      </c>
      <c r="G22" s="42" t="s">
        <v>308</v>
      </c>
      <c r="H22" s="61"/>
      <c r="I22" s="45" t="n">
        <f aca="false">IFERROR(VLOOKUP(D22,参数与锚点!$K$5:$L$8,2,FALSE()),0)</f>
        <v>0.25</v>
      </c>
    </row>
    <row r="23" customFormat="false" ht="33" hidden="false" customHeight="true" outlineLevel="0" collapsed="false">
      <c r="A23" s="9" t="s">
        <v>244</v>
      </c>
      <c r="B23" s="9" t="s">
        <v>118</v>
      </c>
      <c r="C23" s="10" t="s">
        <v>120</v>
      </c>
      <c r="D23" s="42" t="s">
        <v>94</v>
      </c>
      <c r="E23" s="42" t="s">
        <v>306</v>
      </c>
      <c r="F23" s="42" t="s">
        <v>307</v>
      </c>
      <c r="G23" s="42" t="s">
        <v>308</v>
      </c>
      <c r="H23" s="61"/>
      <c r="I23" s="45" t="n">
        <f aca="false">IFERROR(VLOOKUP(D23,参数与锚点!$K$5:$L$8,2,FALSE()),0)</f>
        <v>0.6</v>
      </c>
    </row>
    <row r="24" customFormat="false" ht="33" hidden="false" customHeight="true" outlineLevel="0" collapsed="false">
      <c r="A24" s="9" t="s">
        <v>244</v>
      </c>
      <c r="B24" s="9" t="s">
        <v>128</v>
      </c>
      <c r="C24" s="10" t="s">
        <v>129</v>
      </c>
      <c r="D24" s="42" t="s">
        <v>94</v>
      </c>
      <c r="E24" s="42" t="s">
        <v>306</v>
      </c>
      <c r="F24" s="42" t="s">
        <v>307</v>
      </c>
      <c r="G24" s="42" t="s">
        <v>308</v>
      </c>
      <c r="H24" s="61"/>
      <c r="I24" s="45" t="n">
        <f aca="false">IFERROR(VLOOKUP(D24,参数与锚点!$K$5:$L$8,2,FALSE()),0)</f>
        <v>0.6</v>
      </c>
    </row>
    <row r="25" customFormat="false" ht="33" hidden="false" customHeight="true" outlineLevel="0" collapsed="false">
      <c r="A25" s="9" t="s">
        <v>244</v>
      </c>
      <c r="B25" s="9" t="s">
        <v>136</v>
      </c>
      <c r="C25" s="10" t="s">
        <v>138</v>
      </c>
      <c r="D25" s="42" t="s">
        <v>85</v>
      </c>
      <c r="E25" s="42" t="s">
        <v>306</v>
      </c>
      <c r="F25" s="42" t="s">
        <v>307</v>
      </c>
      <c r="G25" s="42" t="s">
        <v>308</v>
      </c>
      <c r="H25" s="61"/>
      <c r="I25" s="45" t="n">
        <f aca="false">IFERROR(VLOOKUP(D25,参数与锚点!$K$5:$L$8,2,FALSE()),0)</f>
        <v>0.25</v>
      </c>
    </row>
    <row r="26" customFormat="false" ht="33" hidden="false" customHeight="true" outlineLevel="0" collapsed="false">
      <c r="A26" s="9" t="s">
        <v>244</v>
      </c>
      <c r="B26" s="9" t="s">
        <v>145</v>
      </c>
      <c r="C26" s="10" t="s">
        <v>146</v>
      </c>
      <c r="D26" s="42" t="s">
        <v>85</v>
      </c>
      <c r="E26" s="42" t="s">
        <v>306</v>
      </c>
      <c r="F26" s="42" t="s">
        <v>307</v>
      </c>
      <c r="G26" s="42" t="s">
        <v>308</v>
      </c>
      <c r="H26" s="61"/>
      <c r="I26" s="45" t="n">
        <f aca="false">IFERROR(VLOOKUP(D26,参数与锚点!$K$5:$L$8,2,FALSE()),0)</f>
        <v>0.25</v>
      </c>
    </row>
    <row r="27" customFormat="false" ht="33" hidden="false" customHeight="true" outlineLevel="0" collapsed="false">
      <c r="A27" s="9" t="s">
        <v>244</v>
      </c>
      <c r="B27" s="9" t="s">
        <v>154</v>
      </c>
      <c r="C27" s="10" t="s">
        <v>156</v>
      </c>
      <c r="D27" s="42" t="s">
        <v>94</v>
      </c>
      <c r="E27" s="42" t="s">
        <v>306</v>
      </c>
      <c r="F27" s="42" t="s">
        <v>307</v>
      </c>
      <c r="G27" s="42" t="s">
        <v>308</v>
      </c>
      <c r="H27" s="61"/>
      <c r="I27" s="45" t="n">
        <f aca="false">IFERROR(VLOOKUP(D27,参数与锚点!$K$5:$L$8,2,FALSE()),0)</f>
        <v>0.6</v>
      </c>
    </row>
    <row r="28" customFormat="false" ht="33" hidden="false" customHeight="true" outlineLevel="0" collapsed="false">
      <c r="A28" s="9" t="s">
        <v>244</v>
      </c>
      <c r="B28" s="9" t="s">
        <v>164</v>
      </c>
      <c r="C28" s="10" t="s">
        <v>165</v>
      </c>
      <c r="D28" s="42" t="s">
        <v>85</v>
      </c>
      <c r="E28" s="42" t="s">
        <v>306</v>
      </c>
      <c r="F28" s="42" t="s">
        <v>307</v>
      </c>
      <c r="G28" s="42" t="s">
        <v>308</v>
      </c>
      <c r="H28" s="61"/>
      <c r="I28" s="45" t="n">
        <f aca="false">IFERROR(VLOOKUP(D28,参数与锚点!$K$5:$L$8,2,FALSE()),0)</f>
        <v>0.25</v>
      </c>
    </row>
    <row r="29" customFormat="false" ht="33" hidden="false" customHeight="true" outlineLevel="0" collapsed="false">
      <c r="A29" s="9" t="s">
        <v>255</v>
      </c>
      <c r="B29" s="9" t="s">
        <v>69</v>
      </c>
      <c r="C29" s="10" t="s">
        <v>71</v>
      </c>
      <c r="D29" s="42" t="s">
        <v>94</v>
      </c>
      <c r="E29" s="42" t="s">
        <v>306</v>
      </c>
      <c r="F29" s="42" t="s">
        <v>307</v>
      </c>
      <c r="G29" s="42" t="s">
        <v>308</v>
      </c>
      <c r="H29" s="61"/>
      <c r="I29" s="45" t="n">
        <f aca="false">IFERROR(VLOOKUP(D29,参数与锚点!$K$5:$L$8,2,FALSE()),0)</f>
        <v>0.6</v>
      </c>
    </row>
    <row r="30" customFormat="false" ht="33" hidden="false" customHeight="true" outlineLevel="0" collapsed="false">
      <c r="A30" s="9" t="s">
        <v>255</v>
      </c>
      <c r="B30" s="9" t="s">
        <v>78</v>
      </c>
      <c r="C30" s="10" t="s">
        <v>79</v>
      </c>
      <c r="D30" s="42" t="s">
        <v>85</v>
      </c>
      <c r="E30" s="42" t="s">
        <v>306</v>
      </c>
      <c r="F30" s="42" t="s">
        <v>307</v>
      </c>
      <c r="G30" s="42" t="s">
        <v>308</v>
      </c>
      <c r="H30" s="61"/>
      <c r="I30" s="45" t="n">
        <f aca="false">IFERROR(VLOOKUP(D30,参数与锚点!$K$5:$L$8,2,FALSE()),0)</f>
        <v>0.25</v>
      </c>
    </row>
    <row r="31" customFormat="false" ht="33" hidden="false" customHeight="true" outlineLevel="0" collapsed="false">
      <c r="A31" s="9" t="s">
        <v>255</v>
      </c>
      <c r="B31" s="9" t="s">
        <v>86</v>
      </c>
      <c r="C31" s="10" t="s">
        <v>88</v>
      </c>
      <c r="D31" s="42" t="s">
        <v>94</v>
      </c>
      <c r="E31" s="42" t="s">
        <v>306</v>
      </c>
      <c r="F31" s="42" t="s">
        <v>307</v>
      </c>
      <c r="G31" s="42" t="s">
        <v>308</v>
      </c>
      <c r="H31" s="61"/>
      <c r="I31" s="45" t="n">
        <f aca="false">IFERROR(VLOOKUP(D31,参数与锚点!$K$5:$L$8,2,FALSE()),0)</f>
        <v>0.6</v>
      </c>
    </row>
    <row r="32" customFormat="false" ht="33" hidden="false" customHeight="true" outlineLevel="0" collapsed="false">
      <c r="A32" s="9" t="s">
        <v>255</v>
      </c>
      <c r="B32" s="9" t="s">
        <v>95</v>
      </c>
      <c r="C32" s="10" t="s">
        <v>96</v>
      </c>
      <c r="D32" s="42" t="s">
        <v>94</v>
      </c>
      <c r="E32" s="42" t="s">
        <v>306</v>
      </c>
      <c r="F32" s="42" t="s">
        <v>307</v>
      </c>
      <c r="G32" s="42" t="s">
        <v>308</v>
      </c>
      <c r="H32" s="61"/>
      <c r="I32" s="45" t="n">
        <f aca="false">IFERROR(VLOOKUP(D32,参数与锚点!$K$5:$L$8,2,FALSE()),0)</f>
        <v>0.6</v>
      </c>
    </row>
    <row r="33" customFormat="false" ht="33" hidden="false" customHeight="true" outlineLevel="0" collapsed="false">
      <c r="A33" s="9" t="s">
        <v>255</v>
      </c>
      <c r="B33" s="9" t="s">
        <v>103</v>
      </c>
      <c r="C33" s="9" t="s">
        <v>105</v>
      </c>
      <c r="D33" s="42" t="s">
        <v>94</v>
      </c>
      <c r="E33" s="42" t="s">
        <v>306</v>
      </c>
      <c r="F33" s="42" t="s">
        <v>307</v>
      </c>
      <c r="G33" s="42" t="s">
        <v>308</v>
      </c>
      <c r="H33" s="61"/>
      <c r="I33" s="45" t="n">
        <f aca="false">IFERROR(VLOOKUP(D33,参数与锚点!$K$5:$L$8,2,FALSE()),0)</f>
        <v>0.6</v>
      </c>
    </row>
    <row r="34" customFormat="false" ht="33" hidden="false" customHeight="true" outlineLevel="0" collapsed="false">
      <c r="A34" s="9" t="s">
        <v>255</v>
      </c>
      <c r="B34" s="9" t="s">
        <v>111</v>
      </c>
      <c r="C34" s="10" t="s">
        <v>112</v>
      </c>
      <c r="D34" s="42" t="s">
        <v>85</v>
      </c>
      <c r="E34" s="42" t="s">
        <v>306</v>
      </c>
      <c r="F34" s="42" t="s">
        <v>307</v>
      </c>
      <c r="G34" s="42" t="s">
        <v>308</v>
      </c>
      <c r="H34" s="61"/>
      <c r="I34" s="45" t="n">
        <f aca="false">IFERROR(VLOOKUP(D34,参数与锚点!$K$5:$L$8,2,FALSE()),0)</f>
        <v>0.25</v>
      </c>
    </row>
    <row r="35" customFormat="false" ht="33" hidden="false" customHeight="true" outlineLevel="0" collapsed="false">
      <c r="A35" s="9" t="s">
        <v>255</v>
      </c>
      <c r="B35" s="9" t="s">
        <v>118</v>
      </c>
      <c r="C35" s="10" t="s">
        <v>120</v>
      </c>
      <c r="D35" s="42" t="s">
        <v>94</v>
      </c>
      <c r="E35" s="42" t="s">
        <v>306</v>
      </c>
      <c r="F35" s="42" t="s">
        <v>307</v>
      </c>
      <c r="G35" s="42" t="s">
        <v>308</v>
      </c>
      <c r="H35" s="61"/>
      <c r="I35" s="45" t="n">
        <f aca="false">IFERROR(VLOOKUP(D35,参数与锚点!$K$5:$L$8,2,FALSE()),0)</f>
        <v>0.6</v>
      </c>
    </row>
    <row r="36" customFormat="false" ht="33" hidden="false" customHeight="true" outlineLevel="0" collapsed="false">
      <c r="A36" s="9" t="s">
        <v>255</v>
      </c>
      <c r="B36" s="9" t="s">
        <v>128</v>
      </c>
      <c r="C36" s="10" t="s">
        <v>129</v>
      </c>
      <c r="D36" s="42" t="s">
        <v>94</v>
      </c>
      <c r="E36" s="42" t="s">
        <v>306</v>
      </c>
      <c r="F36" s="42" t="s">
        <v>307</v>
      </c>
      <c r="G36" s="42" t="s">
        <v>308</v>
      </c>
      <c r="H36" s="61"/>
      <c r="I36" s="45" t="n">
        <f aca="false">IFERROR(VLOOKUP(D36,参数与锚点!$K$5:$L$8,2,FALSE()),0)</f>
        <v>0.6</v>
      </c>
    </row>
    <row r="37" customFormat="false" ht="33" hidden="false" customHeight="true" outlineLevel="0" collapsed="false">
      <c r="A37" s="9" t="s">
        <v>255</v>
      </c>
      <c r="B37" s="9" t="s">
        <v>136</v>
      </c>
      <c r="C37" s="10" t="s">
        <v>138</v>
      </c>
      <c r="D37" s="42" t="s">
        <v>94</v>
      </c>
      <c r="E37" s="42" t="s">
        <v>306</v>
      </c>
      <c r="F37" s="42" t="s">
        <v>307</v>
      </c>
      <c r="G37" s="42" t="s">
        <v>308</v>
      </c>
      <c r="H37" s="61"/>
      <c r="I37" s="45" t="n">
        <f aca="false">IFERROR(VLOOKUP(D37,参数与锚点!$K$5:$L$8,2,FALSE()),0)</f>
        <v>0.6</v>
      </c>
    </row>
    <row r="38" customFormat="false" ht="33" hidden="false" customHeight="true" outlineLevel="0" collapsed="false">
      <c r="A38" s="9" t="s">
        <v>255</v>
      </c>
      <c r="B38" s="9" t="s">
        <v>145</v>
      </c>
      <c r="C38" s="10" t="s">
        <v>146</v>
      </c>
      <c r="D38" s="42" t="s">
        <v>94</v>
      </c>
      <c r="E38" s="42" t="s">
        <v>306</v>
      </c>
      <c r="F38" s="42" t="s">
        <v>307</v>
      </c>
      <c r="G38" s="42" t="s">
        <v>308</v>
      </c>
      <c r="H38" s="61"/>
      <c r="I38" s="45" t="n">
        <f aca="false">IFERROR(VLOOKUP(D38,参数与锚点!$K$5:$L$8,2,FALSE()),0)</f>
        <v>0.6</v>
      </c>
    </row>
    <row r="39" customFormat="false" ht="33" hidden="false" customHeight="true" outlineLevel="0" collapsed="false">
      <c r="A39" s="9" t="s">
        <v>255</v>
      </c>
      <c r="B39" s="9" t="s">
        <v>154</v>
      </c>
      <c r="C39" s="10" t="s">
        <v>156</v>
      </c>
      <c r="D39" s="42" t="s">
        <v>94</v>
      </c>
      <c r="E39" s="42" t="s">
        <v>306</v>
      </c>
      <c r="F39" s="42" t="s">
        <v>307</v>
      </c>
      <c r="G39" s="42" t="s">
        <v>308</v>
      </c>
      <c r="H39" s="61"/>
      <c r="I39" s="45" t="n">
        <f aca="false">IFERROR(VLOOKUP(D39,参数与锚点!$K$5:$L$8,2,FALSE()),0)</f>
        <v>0.6</v>
      </c>
    </row>
    <row r="40" customFormat="false" ht="33" hidden="false" customHeight="true" outlineLevel="0" collapsed="false">
      <c r="A40" s="9" t="s">
        <v>255</v>
      </c>
      <c r="B40" s="9" t="s">
        <v>164</v>
      </c>
      <c r="C40" s="10" t="s">
        <v>165</v>
      </c>
      <c r="D40" s="42" t="s">
        <v>85</v>
      </c>
      <c r="E40" s="42" t="s">
        <v>306</v>
      </c>
      <c r="F40" s="42" t="s">
        <v>307</v>
      </c>
      <c r="G40" s="42" t="s">
        <v>308</v>
      </c>
      <c r="H40" s="61"/>
      <c r="I40" s="45" t="n">
        <f aca="false">IFERROR(VLOOKUP(D40,参数与锚点!$K$5:$L$8,2,FALSE()),0)</f>
        <v>0.25</v>
      </c>
    </row>
    <row r="41" customFormat="false" ht="33" hidden="false" customHeight="true" outlineLevel="0" collapsed="false">
      <c r="A41" s="9" t="s">
        <v>266</v>
      </c>
      <c r="B41" s="9" t="s">
        <v>69</v>
      </c>
      <c r="C41" s="10" t="s">
        <v>71</v>
      </c>
      <c r="D41" s="42" t="s">
        <v>77</v>
      </c>
      <c r="E41" s="42"/>
      <c r="F41" s="42"/>
      <c r="G41" s="42"/>
      <c r="H41" s="61"/>
      <c r="I41" s="45" t="n">
        <f aca="false">IFERROR(VLOOKUP(D41,参数与锚点!$K$5:$L$8,2,FALSE()),0)</f>
        <v>0</v>
      </c>
    </row>
    <row r="42" customFormat="false" ht="33" hidden="false" customHeight="true" outlineLevel="0" collapsed="false">
      <c r="A42" s="9" t="s">
        <v>266</v>
      </c>
      <c r="B42" s="9" t="s">
        <v>78</v>
      </c>
      <c r="C42" s="10" t="s">
        <v>79</v>
      </c>
      <c r="D42" s="42" t="s">
        <v>77</v>
      </c>
      <c r="E42" s="42"/>
      <c r="F42" s="42"/>
      <c r="G42" s="42"/>
      <c r="H42" s="61"/>
      <c r="I42" s="45" t="n">
        <f aca="false">IFERROR(VLOOKUP(D42,参数与锚点!$K$5:$L$8,2,FALSE()),0)</f>
        <v>0</v>
      </c>
    </row>
    <row r="43" customFormat="false" ht="33" hidden="false" customHeight="true" outlineLevel="0" collapsed="false">
      <c r="A43" s="9" t="s">
        <v>266</v>
      </c>
      <c r="B43" s="9" t="s">
        <v>86</v>
      </c>
      <c r="C43" s="10" t="s">
        <v>88</v>
      </c>
      <c r="D43" s="42" t="s">
        <v>77</v>
      </c>
      <c r="E43" s="42"/>
      <c r="F43" s="42"/>
      <c r="G43" s="42"/>
      <c r="H43" s="61"/>
      <c r="I43" s="45" t="n">
        <f aca="false">IFERROR(VLOOKUP(D43,参数与锚点!$K$5:$L$8,2,FALSE()),0)</f>
        <v>0</v>
      </c>
    </row>
    <row r="44" customFormat="false" ht="33" hidden="false" customHeight="true" outlineLevel="0" collapsed="false">
      <c r="A44" s="9" t="s">
        <v>266</v>
      </c>
      <c r="B44" s="9" t="s">
        <v>95</v>
      </c>
      <c r="C44" s="10" t="s">
        <v>96</v>
      </c>
      <c r="D44" s="42" t="s">
        <v>77</v>
      </c>
      <c r="E44" s="42"/>
      <c r="F44" s="42"/>
      <c r="G44" s="42"/>
      <c r="H44" s="61"/>
      <c r="I44" s="45" t="n">
        <f aca="false">IFERROR(VLOOKUP(D44,参数与锚点!$K$5:$L$8,2,FALSE()),0)</f>
        <v>0</v>
      </c>
    </row>
    <row r="45" customFormat="false" ht="33" hidden="false" customHeight="true" outlineLevel="0" collapsed="false">
      <c r="A45" s="9" t="s">
        <v>266</v>
      </c>
      <c r="B45" s="9" t="s">
        <v>103</v>
      </c>
      <c r="C45" s="9" t="s">
        <v>105</v>
      </c>
      <c r="D45" s="42" t="s">
        <v>77</v>
      </c>
      <c r="E45" s="42"/>
      <c r="F45" s="42"/>
      <c r="G45" s="42"/>
      <c r="H45" s="61"/>
      <c r="I45" s="45" t="n">
        <f aca="false">IFERROR(VLOOKUP(D45,参数与锚点!$K$5:$L$8,2,FALSE()),0)</f>
        <v>0</v>
      </c>
    </row>
    <row r="46" customFormat="false" ht="33" hidden="false" customHeight="true" outlineLevel="0" collapsed="false">
      <c r="A46" s="9" t="s">
        <v>266</v>
      </c>
      <c r="B46" s="9" t="s">
        <v>111</v>
      </c>
      <c r="C46" s="10" t="s">
        <v>112</v>
      </c>
      <c r="D46" s="42" t="s">
        <v>77</v>
      </c>
      <c r="E46" s="42"/>
      <c r="F46" s="42"/>
      <c r="G46" s="42"/>
      <c r="H46" s="61"/>
      <c r="I46" s="45" t="n">
        <f aca="false">IFERROR(VLOOKUP(D46,参数与锚点!$K$5:$L$8,2,FALSE()),0)</f>
        <v>0</v>
      </c>
    </row>
    <row r="47" customFormat="false" ht="33" hidden="false" customHeight="true" outlineLevel="0" collapsed="false">
      <c r="A47" s="9" t="s">
        <v>266</v>
      </c>
      <c r="B47" s="9" t="s">
        <v>118</v>
      </c>
      <c r="C47" s="10" t="s">
        <v>120</v>
      </c>
      <c r="D47" s="42" t="s">
        <v>77</v>
      </c>
      <c r="E47" s="42"/>
      <c r="F47" s="42"/>
      <c r="G47" s="42"/>
      <c r="H47" s="61"/>
      <c r="I47" s="45" t="n">
        <f aca="false">IFERROR(VLOOKUP(D47,参数与锚点!$K$5:$L$8,2,FALSE()),0)</f>
        <v>0</v>
      </c>
    </row>
    <row r="48" customFormat="false" ht="33" hidden="false" customHeight="true" outlineLevel="0" collapsed="false">
      <c r="A48" s="9" t="s">
        <v>266</v>
      </c>
      <c r="B48" s="9" t="s">
        <v>128</v>
      </c>
      <c r="C48" s="10" t="s">
        <v>129</v>
      </c>
      <c r="D48" s="42" t="s">
        <v>77</v>
      </c>
      <c r="E48" s="42"/>
      <c r="F48" s="42"/>
      <c r="G48" s="42"/>
      <c r="H48" s="61"/>
      <c r="I48" s="45" t="n">
        <f aca="false">IFERROR(VLOOKUP(D48,参数与锚点!$K$5:$L$8,2,FALSE()),0)</f>
        <v>0</v>
      </c>
    </row>
    <row r="49" customFormat="false" ht="33" hidden="false" customHeight="true" outlineLevel="0" collapsed="false">
      <c r="A49" s="9" t="s">
        <v>266</v>
      </c>
      <c r="B49" s="9" t="s">
        <v>136</v>
      </c>
      <c r="C49" s="10" t="s">
        <v>138</v>
      </c>
      <c r="D49" s="42" t="s">
        <v>77</v>
      </c>
      <c r="E49" s="42"/>
      <c r="F49" s="42"/>
      <c r="G49" s="42"/>
      <c r="H49" s="61"/>
      <c r="I49" s="45" t="n">
        <f aca="false">IFERROR(VLOOKUP(D49,参数与锚点!$K$5:$L$8,2,FALSE()),0)</f>
        <v>0</v>
      </c>
    </row>
    <row r="50" customFormat="false" ht="33" hidden="false" customHeight="true" outlineLevel="0" collapsed="false">
      <c r="A50" s="9" t="s">
        <v>266</v>
      </c>
      <c r="B50" s="9" t="s">
        <v>145</v>
      </c>
      <c r="C50" s="10" t="s">
        <v>146</v>
      </c>
      <c r="D50" s="42" t="s">
        <v>77</v>
      </c>
      <c r="E50" s="42"/>
      <c r="F50" s="42"/>
      <c r="G50" s="42"/>
      <c r="H50" s="61"/>
      <c r="I50" s="45" t="n">
        <f aca="false">IFERROR(VLOOKUP(D50,参数与锚点!$K$5:$L$8,2,FALSE()),0)</f>
        <v>0</v>
      </c>
    </row>
    <row r="51" customFormat="false" ht="33" hidden="false" customHeight="true" outlineLevel="0" collapsed="false">
      <c r="A51" s="9" t="s">
        <v>266</v>
      </c>
      <c r="B51" s="9" t="s">
        <v>154</v>
      </c>
      <c r="C51" s="10" t="s">
        <v>156</v>
      </c>
      <c r="D51" s="42" t="s">
        <v>77</v>
      </c>
      <c r="E51" s="42"/>
      <c r="F51" s="42"/>
      <c r="G51" s="42"/>
      <c r="H51" s="61"/>
      <c r="I51" s="45" t="n">
        <f aca="false">IFERROR(VLOOKUP(D51,参数与锚点!$K$5:$L$8,2,FALSE()),0)</f>
        <v>0</v>
      </c>
    </row>
    <row r="52" customFormat="false" ht="33" hidden="false" customHeight="true" outlineLevel="0" collapsed="false">
      <c r="A52" s="9" t="s">
        <v>266</v>
      </c>
      <c r="B52" s="9" t="s">
        <v>164</v>
      </c>
      <c r="C52" s="10" t="s">
        <v>165</v>
      </c>
      <c r="D52" s="42" t="s">
        <v>77</v>
      </c>
      <c r="E52" s="42"/>
      <c r="F52" s="42"/>
      <c r="G52" s="42"/>
      <c r="H52" s="61"/>
      <c r="I52" s="45" t="n">
        <f aca="false">IFERROR(VLOOKUP(D52,参数与锚点!$K$5:$L$8,2,FALSE()),0)</f>
        <v>0</v>
      </c>
    </row>
    <row r="53" customFormat="false" ht="33" hidden="false" customHeight="true" outlineLevel="0" collapsed="false">
      <c r="A53" s="9" t="s">
        <v>267</v>
      </c>
      <c r="B53" s="9" t="s">
        <v>69</v>
      </c>
      <c r="C53" s="10" t="s">
        <v>71</v>
      </c>
      <c r="D53" s="42" t="s">
        <v>77</v>
      </c>
      <c r="E53" s="42"/>
      <c r="F53" s="42"/>
      <c r="G53" s="42"/>
      <c r="H53" s="61"/>
      <c r="I53" s="45" t="n">
        <f aca="false">IFERROR(VLOOKUP(D53,参数与锚点!$K$5:$L$8,2,FALSE()),0)</f>
        <v>0</v>
      </c>
    </row>
    <row r="54" customFormat="false" ht="33" hidden="false" customHeight="true" outlineLevel="0" collapsed="false">
      <c r="A54" s="9" t="s">
        <v>267</v>
      </c>
      <c r="B54" s="9" t="s">
        <v>78</v>
      </c>
      <c r="C54" s="10" t="s">
        <v>79</v>
      </c>
      <c r="D54" s="42" t="s">
        <v>77</v>
      </c>
      <c r="E54" s="42"/>
      <c r="F54" s="42"/>
      <c r="G54" s="42"/>
      <c r="H54" s="61"/>
      <c r="I54" s="45" t="n">
        <f aca="false">IFERROR(VLOOKUP(D54,参数与锚点!$K$5:$L$8,2,FALSE()),0)</f>
        <v>0</v>
      </c>
    </row>
    <row r="55" customFormat="false" ht="33" hidden="false" customHeight="true" outlineLevel="0" collapsed="false">
      <c r="A55" s="9" t="s">
        <v>267</v>
      </c>
      <c r="B55" s="9" t="s">
        <v>86</v>
      </c>
      <c r="C55" s="10" t="s">
        <v>88</v>
      </c>
      <c r="D55" s="42" t="s">
        <v>77</v>
      </c>
      <c r="E55" s="42"/>
      <c r="F55" s="42"/>
      <c r="G55" s="42"/>
      <c r="H55" s="61"/>
      <c r="I55" s="45" t="n">
        <f aca="false">IFERROR(VLOOKUP(D55,参数与锚点!$K$5:$L$8,2,FALSE()),0)</f>
        <v>0</v>
      </c>
    </row>
    <row r="56" customFormat="false" ht="33" hidden="false" customHeight="true" outlineLevel="0" collapsed="false">
      <c r="A56" s="9" t="s">
        <v>267</v>
      </c>
      <c r="B56" s="9" t="s">
        <v>95</v>
      </c>
      <c r="C56" s="10" t="s">
        <v>96</v>
      </c>
      <c r="D56" s="42" t="s">
        <v>77</v>
      </c>
      <c r="E56" s="42"/>
      <c r="F56" s="42"/>
      <c r="G56" s="42"/>
      <c r="H56" s="61"/>
      <c r="I56" s="45" t="n">
        <f aca="false">IFERROR(VLOOKUP(D56,参数与锚点!$K$5:$L$8,2,FALSE()),0)</f>
        <v>0</v>
      </c>
    </row>
    <row r="57" customFormat="false" ht="33" hidden="false" customHeight="true" outlineLevel="0" collapsed="false">
      <c r="A57" s="9" t="s">
        <v>267</v>
      </c>
      <c r="B57" s="9" t="s">
        <v>103</v>
      </c>
      <c r="C57" s="9" t="s">
        <v>105</v>
      </c>
      <c r="D57" s="42" t="s">
        <v>77</v>
      </c>
      <c r="E57" s="42"/>
      <c r="F57" s="42"/>
      <c r="G57" s="42"/>
      <c r="H57" s="61"/>
      <c r="I57" s="45" t="n">
        <f aca="false">IFERROR(VLOOKUP(D57,参数与锚点!$K$5:$L$8,2,FALSE()),0)</f>
        <v>0</v>
      </c>
    </row>
    <row r="58" customFormat="false" ht="33" hidden="false" customHeight="true" outlineLevel="0" collapsed="false">
      <c r="A58" s="9" t="s">
        <v>267</v>
      </c>
      <c r="B58" s="9" t="s">
        <v>111</v>
      </c>
      <c r="C58" s="10" t="s">
        <v>112</v>
      </c>
      <c r="D58" s="42" t="s">
        <v>77</v>
      </c>
      <c r="E58" s="42"/>
      <c r="F58" s="42"/>
      <c r="G58" s="42"/>
      <c r="H58" s="61"/>
      <c r="I58" s="45" t="n">
        <f aca="false">IFERROR(VLOOKUP(D58,参数与锚点!$K$5:$L$8,2,FALSE()),0)</f>
        <v>0</v>
      </c>
    </row>
    <row r="59" customFormat="false" ht="33" hidden="false" customHeight="true" outlineLevel="0" collapsed="false">
      <c r="A59" s="9" t="s">
        <v>267</v>
      </c>
      <c r="B59" s="9" t="s">
        <v>118</v>
      </c>
      <c r="C59" s="10" t="s">
        <v>120</v>
      </c>
      <c r="D59" s="42" t="s">
        <v>77</v>
      </c>
      <c r="E59" s="42"/>
      <c r="F59" s="42"/>
      <c r="G59" s="42"/>
      <c r="H59" s="61"/>
      <c r="I59" s="45" t="n">
        <f aca="false">IFERROR(VLOOKUP(D59,参数与锚点!$K$5:$L$8,2,FALSE()),0)</f>
        <v>0</v>
      </c>
    </row>
    <row r="60" customFormat="false" ht="33" hidden="false" customHeight="true" outlineLevel="0" collapsed="false">
      <c r="A60" s="9" t="s">
        <v>267</v>
      </c>
      <c r="B60" s="9" t="s">
        <v>128</v>
      </c>
      <c r="C60" s="10" t="s">
        <v>129</v>
      </c>
      <c r="D60" s="42" t="s">
        <v>77</v>
      </c>
      <c r="E60" s="42"/>
      <c r="F60" s="42"/>
      <c r="G60" s="42"/>
      <c r="H60" s="61"/>
      <c r="I60" s="45" t="n">
        <f aca="false">IFERROR(VLOOKUP(D60,参数与锚点!$K$5:$L$8,2,FALSE()),0)</f>
        <v>0</v>
      </c>
    </row>
    <row r="61" customFormat="false" ht="33" hidden="false" customHeight="true" outlineLevel="0" collapsed="false">
      <c r="A61" s="9" t="s">
        <v>267</v>
      </c>
      <c r="B61" s="9" t="s">
        <v>136</v>
      </c>
      <c r="C61" s="10" t="s">
        <v>138</v>
      </c>
      <c r="D61" s="42" t="s">
        <v>77</v>
      </c>
      <c r="E61" s="42"/>
      <c r="F61" s="42"/>
      <c r="G61" s="42"/>
      <c r="H61" s="61"/>
      <c r="I61" s="45" t="n">
        <f aca="false">IFERROR(VLOOKUP(D61,参数与锚点!$K$5:$L$8,2,FALSE()),0)</f>
        <v>0</v>
      </c>
    </row>
    <row r="62" customFormat="false" ht="33" hidden="false" customHeight="true" outlineLevel="0" collapsed="false">
      <c r="A62" s="9" t="s">
        <v>267</v>
      </c>
      <c r="B62" s="9" t="s">
        <v>145</v>
      </c>
      <c r="C62" s="10" t="s">
        <v>146</v>
      </c>
      <c r="D62" s="42" t="s">
        <v>77</v>
      </c>
      <c r="E62" s="42"/>
      <c r="F62" s="42"/>
      <c r="G62" s="42"/>
      <c r="H62" s="61"/>
      <c r="I62" s="45" t="n">
        <f aca="false">IFERROR(VLOOKUP(D62,参数与锚点!$K$5:$L$8,2,FALSE()),0)</f>
        <v>0</v>
      </c>
    </row>
    <row r="63" customFormat="false" ht="33" hidden="false" customHeight="true" outlineLevel="0" collapsed="false">
      <c r="A63" s="9" t="s">
        <v>267</v>
      </c>
      <c r="B63" s="9" t="s">
        <v>154</v>
      </c>
      <c r="C63" s="10" t="s">
        <v>156</v>
      </c>
      <c r="D63" s="42" t="s">
        <v>77</v>
      </c>
      <c r="E63" s="42"/>
      <c r="F63" s="42"/>
      <c r="G63" s="42"/>
      <c r="H63" s="61"/>
      <c r="I63" s="45" t="n">
        <f aca="false">IFERROR(VLOOKUP(D63,参数与锚点!$K$5:$L$8,2,FALSE()),0)</f>
        <v>0</v>
      </c>
    </row>
    <row r="64" customFormat="false" ht="33" hidden="false" customHeight="true" outlineLevel="0" collapsed="false">
      <c r="A64" s="9" t="s">
        <v>267</v>
      </c>
      <c r="B64" s="9" t="s">
        <v>164</v>
      </c>
      <c r="C64" s="10" t="s">
        <v>165</v>
      </c>
      <c r="D64" s="42" t="s">
        <v>77</v>
      </c>
      <c r="E64" s="42"/>
      <c r="F64" s="42"/>
      <c r="G64" s="42"/>
      <c r="H64" s="61"/>
      <c r="I64" s="45" t="n">
        <f aca="false">IFERROR(VLOOKUP(D64,参数与锚点!$K$5:$L$8,2,FALSE()),0)</f>
        <v>0</v>
      </c>
    </row>
    <row r="65" customFormat="false" ht="33" hidden="false" customHeight="true" outlineLevel="0" collapsed="false">
      <c r="A65" s="9" t="s">
        <v>268</v>
      </c>
      <c r="B65" s="9" t="s">
        <v>69</v>
      </c>
      <c r="C65" s="10" t="s">
        <v>71</v>
      </c>
      <c r="D65" s="42" t="s">
        <v>77</v>
      </c>
      <c r="E65" s="42"/>
      <c r="F65" s="42"/>
      <c r="G65" s="42"/>
      <c r="H65" s="61"/>
      <c r="I65" s="45" t="n">
        <f aca="false">IFERROR(VLOOKUP(D65,参数与锚点!$K$5:$L$8,2,FALSE()),0)</f>
        <v>0</v>
      </c>
    </row>
    <row r="66" customFormat="false" ht="33" hidden="false" customHeight="true" outlineLevel="0" collapsed="false">
      <c r="A66" s="9" t="s">
        <v>268</v>
      </c>
      <c r="B66" s="9" t="s">
        <v>78</v>
      </c>
      <c r="C66" s="10" t="s">
        <v>79</v>
      </c>
      <c r="D66" s="42" t="s">
        <v>77</v>
      </c>
      <c r="E66" s="42"/>
      <c r="F66" s="42"/>
      <c r="G66" s="42"/>
      <c r="H66" s="61"/>
      <c r="I66" s="45" t="n">
        <f aca="false">IFERROR(VLOOKUP(D66,参数与锚点!$K$5:$L$8,2,FALSE()),0)</f>
        <v>0</v>
      </c>
    </row>
    <row r="67" customFormat="false" ht="33" hidden="false" customHeight="true" outlineLevel="0" collapsed="false">
      <c r="A67" s="9" t="s">
        <v>268</v>
      </c>
      <c r="B67" s="9" t="s">
        <v>86</v>
      </c>
      <c r="C67" s="10" t="s">
        <v>88</v>
      </c>
      <c r="D67" s="42" t="s">
        <v>77</v>
      </c>
      <c r="E67" s="42"/>
      <c r="F67" s="42"/>
      <c r="G67" s="42"/>
      <c r="H67" s="61"/>
      <c r="I67" s="45" t="n">
        <f aca="false">IFERROR(VLOOKUP(D67,参数与锚点!$K$5:$L$8,2,FALSE()),0)</f>
        <v>0</v>
      </c>
    </row>
    <row r="68" customFormat="false" ht="33" hidden="false" customHeight="true" outlineLevel="0" collapsed="false">
      <c r="A68" s="9" t="s">
        <v>268</v>
      </c>
      <c r="B68" s="9" t="s">
        <v>95</v>
      </c>
      <c r="C68" s="10" t="s">
        <v>96</v>
      </c>
      <c r="D68" s="42" t="s">
        <v>77</v>
      </c>
      <c r="E68" s="42"/>
      <c r="F68" s="42"/>
      <c r="G68" s="42"/>
      <c r="H68" s="61"/>
      <c r="I68" s="45" t="n">
        <f aca="false">IFERROR(VLOOKUP(D68,参数与锚点!$K$5:$L$8,2,FALSE()),0)</f>
        <v>0</v>
      </c>
    </row>
    <row r="69" customFormat="false" ht="33" hidden="false" customHeight="true" outlineLevel="0" collapsed="false">
      <c r="A69" s="9" t="s">
        <v>268</v>
      </c>
      <c r="B69" s="9" t="s">
        <v>103</v>
      </c>
      <c r="C69" s="9" t="s">
        <v>105</v>
      </c>
      <c r="D69" s="42" t="s">
        <v>77</v>
      </c>
      <c r="E69" s="42"/>
      <c r="F69" s="42"/>
      <c r="G69" s="42"/>
      <c r="H69" s="61"/>
      <c r="I69" s="45" t="n">
        <f aca="false">IFERROR(VLOOKUP(D69,参数与锚点!$K$5:$L$8,2,FALSE()),0)</f>
        <v>0</v>
      </c>
    </row>
    <row r="70" customFormat="false" ht="33" hidden="false" customHeight="true" outlineLevel="0" collapsed="false">
      <c r="A70" s="9" t="s">
        <v>268</v>
      </c>
      <c r="B70" s="9" t="s">
        <v>111</v>
      </c>
      <c r="C70" s="10" t="s">
        <v>112</v>
      </c>
      <c r="D70" s="42" t="s">
        <v>77</v>
      </c>
      <c r="E70" s="42"/>
      <c r="F70" s="42"/>
      <c r="G70" s="42"/>
      <c r="H70" s="61"/>
      <c r="I70" s="45" t="n">
        <f aca="false">IFERROR(VLOOKUP(D70,参数与锚点!$K$5:$L$8,2,FALSE()),0)</f>
        <v>0</v>
      </c>
    </row>
    <row r="71" customFormat="false" ht="33" hidden="false" customHeight="true" outlineLevel="0" collapsed="false">
      <c r="A71" s="9" t="s">
        <v>268</v>
      </c>
      <c r="B71" s="9" t="s">
        <v>118</v>
      </c>
      <c r="C71" s="10" t="s">
        <v>120</v>
      </c>
      <c r="D71" s="42" t="s">
        <v>77</v>
      </c>
      <c r="E71" s="42"/>
      <c r="F71" s="42"/>
      <c r="G71" s="42"/>
      <c r="H71" s="61"/>
      <c r="I71" s="45" t="n">
        <f aca="false">IFERROR(VLOOKUP(D71,参数与锚点!$K$5:$L$8,2,FALSE()),0)</f>
        <v>0</v>
      </c>
    </row>
    <row r="72" customFormat="false" ht="33" hidden="false" customHeight="true" outlineLevel="0" collapsed="false">
      <c r="A72" s="9" t="s">
        <v>268</v>
      </c>
      <c r="B72" s="9" t="s">
        <v>128</v>
      </c>
      <c r="C72" s="10" t="s">
        <v>129</v>
      </c>
      <c r="D72" s="42" t="s">
        <v>77</v>
      </c>
      <c r="E72" s="42"/>
      <c r="F72" s="42"/>
      <c r="G72" s="42"/>
      <c r="H72" s="61"/>
      <c r="I72" s="45" t="n">
        <f aca="false">IFERROR(VLOOKUP(D72,参数与锚点!$K$5:$L$8,2,FALSE()),0)</f>
        <v>0</v>
      </c>
    </row>
    <row r="73" customFormat="false" ht="33" hidden="false" customHeight="true" outlineLevel="0" collapsed="false">
      <c r="A73" s="9" t="s">
        <v>268</v>
      </c>
      <c r="B73" s="9" t="s">
        <v>136</v>
      </c>
      <c r="C73" s="10" t="s">
        <v>138</v>
      </c>
      <c r="D73" s="42" t="s">
        <v>77</v>
      </c>
      <c r="E73" s="42"/>
      <c r="F73" s="42"/>
      <c r="G73" s="42"/>
      <c r="H73" s="61"/>
      <c r="I73" s="45" t="n">
        <f aca="false">IFERROR(VLOOKUP(D73,参数与锚点!$K$5:$L$8,2,FALSE()),0)</f>
        <v>0</v>
      </c>
    </row>
    <row r="74" customFormat="false" ht="33" hidden="false" customHeight="true" outlineLevel="0" collapsed="false">
      <c r="A74" s="9" t="s">
        <v>268</v>
      </c>
      <c r="B74" s="9" t="s">
        <v>145</v>
      </c>
      <c r="C74" s="10" t="s">
        <v>146</v>
      </c>
      <c r="D74" s="42" t="s">
        <v>77</v>
      </c>
      <c r="E74" s="42"/>
      <c r="F74" s="42"/>
      <c r="G74" s="42"/>
      <c r="H74" s="61"/>
      <c r="I74" s="45" t="n">
        <f aca="false">IFERROR(VLOOKUP(D74,参数与锚点!$K$5:$L$8,2,FALSE()),0)</f>
        <v>0</v>
      </c>
    </row>
    <row r="75" customFormat="false" ht="33" hidden="false" customHeight="true" outlineLevel="0" collapsed="false">
      <c r="A75" s="9" t="s">
        <v>268</v>
      </c>
      <c r="B75" s="9" t="s">
        <v>154</v>
      </c>
      <c r="C75" s="10" t="s">
        <v>156</v>
      </c>
      <c r="D75" s="42" t="s">
        <v>77</v>
      </c>
      <c r="E75" s="42"/>
      <c r="F75" s="42"/>
      <c r="G75" s="42"/>
      <c r="H75" s="61"/>
      <c r="I75" s="45" t="n">
        <f aca="false">IFERROR(VLOOKUP(D75,参数与锚点!$K$5:$L$8,2,FALSE()),0)</f>
        <v>0</v>
      </c>
    </row>
    <row r="76" customFormat="false" ht="33" hidden="false" customHeight="true" outlineLevel="0" collapsed="false">
      <c r="A76" s="9" t="s">
        <v>268</v>
      </c>
      <c r="B76" s="9" t="s">
        <v>164</v>
      </c>
      <c r="C76" s="10" t="s">
        <v>165</v>
      </c>
      <c r="D76" s="42" t="s">
        <v>77</v>
      </c>
      <c r="E76" s="42"/>
      <c r="F76" s="42"/>
      <c r="G76" s="42"/>
      <c r="H76" s="61"/>
      <c r="I76" s="45" t="n">
        <f aca="false">IFERROR(VLOOKUP(D76,参数与锚点!$K$5:$L$8,2,FALSE()),0)</f>
        <v>0</v>
      </c>
    </row>
    <row r="77" customFormat="false" ht="33" hidden="false" customHeight="true" outlineLevel="0" collapsed="false">
      <c r="A77" s="9" t="s">
        <v>269</v>
      </c>
      <c r="B77" s="9" t="s">
        <v>69</v>
      </c>
      <c r="C77" s="10" t="s">
        <v>71</v>
      </c>
      <c r="D77" s="42" t="s">
        <v>77</v>
      </c>
      <c r="E77" s="42"/>
      <c r="F77" s="42"/>
      <c r="G77" s="42"/>
      <c r="H77" s="61"/>
      <c r="I77" s="45" t="n">
        <f aca="false">IFERROR(VLOOKUP(D77,参数与锚点!$K$5:$L$8,2,FALSE()),0)</f>
        <v>0</v>
      </c>
    </row>
    <row r="78" customFormat="false" ht="33" hidden="false" customHeight="true" outlineLevel="0" collapsed="false">
      <c r="A78" s="9" t="s">
        <v>269</v>
      </c>
      <c r="B78" s="9" t="s">
        <v>78</v>
      </c>
      <c r="C78" s="10" t="s">
        <v>79</v>
      </c>
      <c r="D78" s="42" t="s">
        <v>77</v>
      </c>
      <c r="E78" s="42"/>
      <c r="F78" s="42"/>
      <c r="G78" s="42"/>
      <c r="H78" s="61"/>
      <c r="I78" s="45" t="n">
        <f aca="false">IFERROR(VLOOKUP(D78,参数与锚点!$K$5:$L$8,2,FALSE()),0)</f>
        <v>0</v>
      </c>
    </row>
    <row r="79" customFormat="false" ht="33" hidden="false" customHeight="true" outlineLevel="0" collapsed="false">
      <c r="A79" s="9" t="s">
        <v>269</v>
      </c>
      <c r="B79" s="9" t="s">
        <v>86</v>
      </c>
      <c r="C79" s="10" t="s">
        <v>88</v>
      </c>
      <c r="D79" s="42" t="s">
        <v>77</v>
      </c>
      <c r="E79" s="42"/>
      <c r="F79" s="42"/>
      <c r="G79" s="42"/>
      <c r="H79" s="61"/>
      <c r="I79" s="45" t="n">
        <f aca="false">IFERROR(VLOOKUP(D79,参数与锚点!$K$5:$L$8,2,FALSE()),0)</f>
        <v>0</v>
      </c>
    </row>
    <row r="80" customFormat="false" ht="33" hidden="false" customHeight="true" outlineLevel="0" collapsed="false">
      <c r="A80" s="9" t="s">
        <v>269</v>
      </c>
      <c r="B80" s="9" t="s">
        <v>95</v>
      </c>
      <c r="C80" s="10" t="s">
        <v>96</v>
      </c>
      <c r="D80" s="42" t="s">
        <v>77</v>
      </c>
      <c r="E80" s="42"/>
      <c r="F80" s="42"/>
      <c r="G80" s="42"/>
      <c r="H80" s="61"/>
      <c r="I80" s="45" t="n">
        <f aca="false">IFERROR(VLOOKUP(D80,参数与锚点!$K$5:$L$8,2,FALSE()),0)</f>
        <v>0</v>
      </c>
    </row>
    <row r="81" customFormat="false" ht="33" hidden="false" customHeight="true" outlineLevel="0" collapsed="false">
      <c r="A81" s="9" t="s">
        <v>269</v>
      </c>
      <c r="B81" s="9" t="s">
        <v>103</v>
      </c>
      <c r="C81" s="9" t="s">
        <v>105</v>
      </c>
      <c r="D81" s="42" t="s">
        <v>77</v>
      </c>
      <c r="E81" s="42"/>
      <c r="F81" s="42"/>
      <c r="G81" s="42"/>
      <c r="H81" s="61"/>
      <c r="I81" s="45" t="n">
        <f aca="false">IFERROR(VLOOKUP(D81,参数与锚点!$K$5:$L$8,2,FALSE()),0)</f>
        <v>0</v>
      </c>
    </row>
    <row r="82" customFormat="false" ht="33" hidden="false" customHeight="true" outlineLevel="0" collapsed="false">
      <c r="A82" s="9" t="s">
        <v>269</v>
      </c>
      <c r="B82" s="9" t="s">
        <v>111</v>
      </c>
      <c r="C82" s="10" t="s">
        <v>112</v>
      </c>
      <c r="D82" s="42" t="s">
        <v>77</v>
      </c>
      <c r="E82" s="42"/>
      <c r="F82" s="42"/>
      <c r="G82" s="42"/>
      <c r="H82" s="61"/>
      <c r="I82" s="45" t="n">
        <f aca="false">IFERROR(VLOOKUP(D82,参数与锚点!$K$5:$L$8,2,FALSE()),0)</f>
        <v>0</v>
      </c>
    </row>
    <row r="83" customFormat="false" ht="33" hidden="false" customHeight="true" outlineLevel="0" collapsed="false">
      <c r="A83" s="9" t="s">
        <v>269</v>
      </c>
      <c r="B83" s="9" t="s">
        <v>118</v>
      </c>
      <c r="C83" s="10" t="s">
        <v>120</v>
      </c>
      <c r="D83" s="42" t="s">
        <v>77</v>
      </c>
      <c r="E83" s="42"/>
      <c r="F83" s="42"/>
      <c r="G83" s="42"/>
      <c r="H83" s="61"/>
      <c r="I83" s="45" t="n">
        <f aca="false">IFERROR(VLOOKUP(D83,参数与锚点!$K$5:$L$8,2,FALSE()),0)</f>
        <v>0</v>
      </c>
    </row>
    <row r="84" customFormat="false" ht="33" hidden="false" customHeight="true" outlineLevel="0" collapsed="false">
      <c r="A84" s="9" t="s">
        <v>269</v>
      </c>
      <c r="B84" s="9" t="s">
        <v>128</v>
      </c>
      <c r="C84" s="10" t="s">
        <v>129</v>
      </c>
      <c r="D84" s="42" t="s">
        <v>77</v>
      </c>
      <c r="E84" s="42"/>
      <c r="F84" s="42"/>
      <c r="G84" s="42"/>
      <c r="H84" s="61"/>
      <c r="I84" s="45" t="n">
        <f aca="false">IFERROR(VLOOKUP(D84,参数与锚点!$K$5:$L$8,2,FALSE()),0)</f>
        <v>0</v>
      </c>
    </row>
    <row r="85" customFormat="false" ht="33" hidden="false" customHeight="true" outlineLevel="0" collapsed="false">
      <c r="A85" s="9" t="s">
        <v>269</v>
      </c>
      <c r="B85" s="9" t="s">
        <v>136</v>
      </c>
      <c r="C85" s="10" t="s">
        <v>138</v>
      </c>
      <c r="D85" s="42" t="s">
        <v>77</v>
      </c>
      <c r="E85" s="42"/>
      <c r="F85" s="42"/>
      <c r="G85" s="42"/>
      <c r="H85" s="61"/>
      <c r="I85" s="45" t="n">
        <f aca="false">IFERROR(VLOOKUP(D85,参数与锚点!$K$5:$L$8,2,FALSE()),0)</f>
        <v>0</v>
      </c>
    </row>
    <row r="86" customFormat="false" ht="33" hidden="false" customHeight="true" outlineLevel="0" collapsed="false">
      <c r="A86" s="9" t="s">
        <v>269</v>
      </c>
      <c r="B86" s="9" t="s">
        <v>145</v>
      </c>
      <c r="C86" s="10" t="s">
        <v>146</v>
      </c>
      <c r="D86" s="42" t="s">
        <v>77</v>
      </c>
      <c r="E86" s="42"/>
      <c r="F86" s="42"/>
      <c r="G86" s="42"/>
      <c r="H86" s="61"/>
      <c r="I86" s="45" t="n">
        <f aca="false">IFERROR(VLOOKUP(D86,参数与锚点!$K$5:$L$8,2,FALSE()),0)</f>
        <v>0</v>
      </c>
    </row>
    <row r="87" customFormat="false" ht="33" hidden="false" customHeight="true" outlineLevel="0" collapsed="false">
      <c r="A87" s="9" t="s">
        <v>269</v>
      </c>
      <c r="B87" s="9" t="s">
        <v>154</v>
      </c>
      <c r="C87" s="10" t="s">
        <v>156</v>
      </c>
      <c r="D87" s="42" t="s">
        <v>77</v>
      </c>
      <c r="E87" s="42"/>
      <c r="F87" s="42"/>
      <c r="G87" s="42"/>
      <c r="H87" s="61"/>
      <c r="I87" s="45" t="n">
        <f aca="false">IFERROR(VLOOKUP(D87,参数与锚点!$K$5:$L$8,2,FALSE()),0)</f>
        <v>0</v>
      </c>
    </row>
    <row r="88" customFormat="false" ht="33" hidden="false" customHeight="true" outlineLevel="0" collapsed="false">
      <c r="A88" s="9" t="s">
        <v>269</v>
      </c>
      <c r="B88" s="9" t="s">
        <v>164</v>
      </c>
      <c r="C88" s="10" t="s">
        <v>165</v>
      </c>
      <c r="D88" s="42" t="s">
        <v>77</v>
      </c>
      <c r="E88" s="42"/>
      <c r="F88" s="42"/>
      <c r="G88" s="42"/>
      <c r="H88" s="61"/>
      <c r="I88" s="45" t="n">
        <f aca="false">IFERROR(VLOOKUP(D88,参数与锚点!$K$5:$L$8,2,FALSE()),0)</f>
        <v>0</v>
      </c>
    </row>
    <row r="89" customFormat="false" ht="33" hidden="false" customHeight="true" outlineLevel="0" collapsed="false">
      <c r="A89" s="9" t="s">
        <v>270</v>
      </c>
      <c r="B89" s="9" t="s">
        <v>69</v>
      </c>
      <c r="C89" s="10" t="s">
        <v>71</v>
      </c>
      <c r="D89" s="42" t="s">
        <v>77</v>
      </c>
      <c r="E89" s="42"/>
      <c r="F89" s="42"/>
      <c r="G89" s="42"/>
      <c r="H89" s="61"/>
      <c r="I89" s="45" t="n">
        <f aca="false">IFERROR(VLOOKUP(D89,参数与锚点!$K$5:$L$8,2,FALSE()),0)</f>
        <v>0</v>
      </c>
    </row>
    <row r="90" customFormat="false" ht="33" hidden="false" customHeight="true" outlineLevel="0" collapsed="false">
      <c r="A90" s="9" t="s">
        <v>270</v>
      </c>
      <c r="B90" s="9" t="s">
        <v>78</v>
      </c>
      <c r="C90" s="10" t="s">
        <v>79</v>
      </c>
      <c r="D90" s="42" t="s">
        <v>77</v>
      </c>
      <c r="E90" s="42"/>
      <c r="F90" s="42"/>
      <c r="G90" s="42"/>
      <c r="H90" s="61"/>
      <c r="I90" s="45" t="n">
        <f aca="false">IFERROR(VLOOKUP(D90,参数与锚点!$K$5:$L$8,2,FALSE()),0)</f>
        <v>0</v>
      </c>
    </row>
    <row r="91" customFormat="false" ht="33" hidden="false" customHeight="true" outlineLevel="0" collapsed="false">
      <c r="A91" s="9" t="s">
        <v>270</v>
      </c>
      <c r="B91" s="9" t="s">
        <v>86</v>
      </c>
      <c r="C91" s="10" t="s">
        <v>88</v>
      </c>
      <c r="D91" s="42" t="s">
        <v>77</v>
      </c>
      <c r="E91" s="42"/>
      <c r="F91" s="42"/>
      <c r="G91" s="42"/>
      <c r="H91" s="61"/>
      <c r="I91" s="45" t="n">
        <f aca="false">IFERROR(VLOOKUP(D91,参数与锚点!$K$5:$L$8,2,FALSE()),0)</f>
        <v>0</v>
      </c>
    </row>
    <row r="92" customFormat="false" ht="33" hidden="false" customHeight="true" outlineLevel="0" collapsed="false">
      <c r="A92" s="9" t="s">
        <v>270</v>
      </c>
      <c r="B92" s="9" t="s">
        <v>95</v>
      </c>
      <c r="C92" s="10" t="s">
        <v>96</v>
      </c>
      <c r="D92" s="42" t="s">
        <v>77</v>
      </c>
      <c r="E92" s="42"/>
      <c r="F92" s="42"/>
      <c r="G92" s="42"/>
      <c r="H92" s="61"/>
      <c r="I92" s="45" t="n">
        <f aca="false">IFERROR(VLOOKUP(D92,参数与锚点!$K$5:$L$8,2,FALSE()),0)</f>
        <v>0</v>
      </c>
    </row>
    <row r="93" customFormat="false" ht="33" hidden="false" customHeight="true" outlineLevel="0" collapsed="false">
      <c r="A93" s="9" t="s">
        <v>270</v>
      </c>
      <c r="B93" s="9" t="s">
        <v>103</v>
      </c>
      <c r="C93" s="9" t="s">
        <v>105</v>
      </c>
      <c r="D93" s="42" t="s">
        <v>77</v>
      </c>
      <c r="E93" s="42"/>
      <c r="F93" s="42"/>
      <c r="G93" s="42"/>
      <c r="H93" s="61"/>
      <c r="I93" s="45" t="n">
        <f aca="false">IFERROR(VLOOKUP(D93,参数与锚点!$K$5:$L$8,2,FALSE()),0)</f>
        <v>0</v>
      </c>
    </row>
    <row r="94" customFormat="false" ht="33" hidden="false" customHeight="true" outlineLevel="0" collapsed="false">
      <c r="A94" s="9" t="s">
        <v>270</v>
      </c>
      <c r="B94" s="9" t="s">
        <v>111</v>
      </c>
      <c r="C94" s="10" t="s">
        <v>112</v>
      </c>
      <c r="D94" s="42" t="s">
        <v>77</v>
      </c>
      <c r="E94" s="42"/>
      <c r="F94" s="42"/>
      <c r="G94" s="42"/>
      <c r="H94" s="61"/>
      <c r="I94" s="45" t="n">
        <f aca="false">IFERROR(VLOOKUP(D94,参数与锚点!$K$5:$L$8,2,FALSE()),0)</f>
        <v>0</v>
      </c>
    </row>
    <row r="95" customFormat="false" ht="33" hidden="false" customHeight="true" outlineLevel="0" collapsed="false">
      <c r="A95" s="9" t="s">
        <v>270</v>
      </c>
      <c r="B95" s="9" t="s">
        <v>118</v>
      </c>
      <c r="C95" s="10" t="s">
        <v>120</v>
      </c>
      <c r="D95" s="42" t="s">
        <v>77</v>
      </c>
      <c r="E95" s="42"/>
      <c r="F95" s="42"/>
      <c r="G95" s="42"/>
      <c r="H95" s="61"/>
      <c r="I95" s="45" t="n">
        <f aca="false">IFERROR(VLOOKUP(D95,参数与锚点!$K$5:$L$8,2,FALSE()),0)</f>
        <v>0</v>
      </c>
    </row>
    <row r="96" customFormat="false" ht="33" hidden="false" customHeight="true" outlineLevel="0" collapsed="false">
      <c r="A96" s="9" t="s">
        <v>270</v>
      </c>
      <c r="B96" s="9" t="s">
        <v>128</v>
      </c>
      <c r="C96" s="10" t="s">
        <v>129</v>
      </c>
      <c r="D96" s="42" t="s">
        <v>77</v>
      </c>
      <c r="E96" s="42"/>
      <c r="F96" s="42"/>
      <c r="G96" s="42"/>
      <c r="H96" s="61"/>
      <c r="I96" s="45" t="n">
        <f aca="false">IFERROR(VLOOKUP(D96,参数与锚点!$K$5:$L$8,2,FALSE()),0)</f>
        <v>0</v>
      </c>
    </row>
    <row r="97" customFormat="false" ht="33" hidden="false" customHeight="true" outlineLevel="0" collapsed="false">
      <c r="A97" s="9" t="s">
        <v>270</v>
      </c>
      <c r="B97" s="9" t="s">
        <v>136</v>
      </c>
      <c r="C97" s="10" t="s">
        <v>138</v>
      </c>
      <c r="D97" s="42" t="s">
        <v>77</v>
      </c>
      <c r="E97" s="42"/>
      <c r="F97" s="42"/>
      <c r="G97" s="42"/>
      <c r="H97" s="61"/>
      <c r="I97" s="45" t="n">
        <f aca="false">IFERROR(VLOOKUP(D97,参数与锚点!$K$5:$L$8,2,FALSE()),0)</f>
        <v>0</v>
      </c>
    </row>
    <row r="98" customFormat="false" ht="33" hidden="false" customHeight="true" outlineLevel="0" collapsed="false">
      <c r="A98" s="9" t="s">
        <v>270</v>
      </c>
      <c r="B98" s="9" t="s">
        <v>145</v>
      </c>
      <c r="C98" s="10" t="s">
        <v>146</v>
      </c>
      <c r="D98" s="42" t="s">
        <v>77</v>
      </c>
      <c r="E98" s="42"/>
      <c r="F98" s="42"/>
      <c r="G98" s="42"/>
      <c r="H98" s="61"/>
      <c r="I98" s="45" t="n">
        <f aca="false">IFERROR(VLOOKUP(D98,参数与锚点!$K$5:$L$8,2,FALSE()),0)</f>
        <v>0</v>
      </c>
    </row>
    <row r="99" customFormat="false" ht="33" hidden="false" customHeight="true" outlineLevel="0" collapsed="false">
      <c r="A99" s="9" t="s">
        <v>270</v>
      </c>
      <c r="B99" s="9" t="s">
        <v>154</v>
      </c>
      <c r="C99" s="10" t="s">
        <v>156</v>
      </c>
      <c r="D99" s="42" t="s">
        <v>77</v>
      </c>
      <c r="E99" s="42"/>
      <c r="F99" s="42"/>
      <c r="G99" s="42"/>
      <c r="H99" s="61"/>
      <c r="I99" s="45" t="n">
        <f aca="false">IFERROR(VLOOKUP(D99,参数与锚点!$K$5:$L$8,2,FALSE()),0)</f>
        <v>0</v>
      </c>
    </row>
    <row r="100" customFormat="false" ht="33" hidden="false" customHeight="true" outlineLevel="0" collapsed="false">
      <c r="A100" s="9" t="s">
        <v>270</v>
      </c>
      <c r="B100" s="9" t="s">
        <v>164</v>
      </c>
      <c r="C100" s="10" t="s">
        <v>165</v>
      </c>
      <c r="D100" s="42" t="s">
        <v>77</v>
      </c>
      <c r="E100" s="42"/>
      <c r="F100" s="42"/>
      <c r="G100" s="42"/>
      <c r="H100" s="61"/>
      <c r="I100" s="45" t="n">
        <f aca="false">IFERROR(VLOOKUP(D100,参数与锚点!$K$5:$L$8,2,FALSE()),0)</f>
        <v>0</v>
      </c>
    </row>
    <row r="101" customFormat="false" ht="33" hidden="false" customHeight="true" outlineLevel="0" collapsed="false">
      <c r="A101" s="9" t="s">
        <v>271</v>
      </c>
      <c r="B101" s="9" t="s">
        <v>69</v>
      </c>
      <c r="C101" s="10" t="s">
        <v>71</v>
      </c>
      <c r="D101" s="42" t="s">
        <v>77</v>
      </c>
      <c r="E101" s="42"/>
      <c r="F101" s="42"/>
      <c r="G101" s="42"/>
      <c r="H101" s="61"/>
      <c r="I101" s="45" t="n">
        <f aca="false">IFERROR(VLOOKUP(D101,参数与锚点!$K$5:$L$8,2,FALSE()),0)</f>
        <v>0</v>
      </c>
    </row>
    <row r="102" customFormat="false" ht="33" hidden="false" customHeight="true" outlineLevel="0" collapsed="false">
      <c r="A102" s="9" t="s">
        <v>271</v>
      </c>
      <c r="B102" s="9" t="s">
        <v>78</v>
      </c>
      <c r="C102" s="10" t="s">
        <v>79</v>
      </c>
      <c r="D102" s="42" t="s">
        <v>77</v>
      </c>
      <c r="E102" s="42"/>
      <c r="F102" s="42"/>
      <c r="G102" s="42"/>
      <c r="H102" s="61"/>
      <c r="I102" s="45" t="n">
        <f aca="false">IFERROR(VLOOKUP(D102,参数与锚点!$K$5:$L$8,2,FALSE()),0)</f>
        <v>0</v>
      </c>
    </row>
    <row r="103" customFormat="false" ht="33" hidden="false" customHeight="true" outlineLevel="0" collapsed="false">
      <c r="A103" s="9" t="s">
        <v>271</v>
      </c>
      <c r="B103" s="9" t="s">
        <v>86</v>
      </c>
      <c r="C103" s="10" t="s">
        <v>88</v>
      </c>
      <c r="D103" s="42" t="s">
        <v>77</v>
      </c>
      <c r="E103" s="42"/>
      <c r="F103" s="42"/>
      <c r="G103" s="42"/>
      <c r="H103" s="61"/>
      <c r="I103" s="45" t="n">
        <f aca="false">IFERROR(VLOOKUP(D103,参数与锚点!$K$5:$L$8,2,FALSE()),0)</f>
        <v>0</v>
      </c>
    </row>
    <row r="104" customFormat="false" ht="33" hidden="false" customHeight="true" outlineLevel="0" collapsed="false">
      <c r="A104" s="9" t="s">
        <v>271</v>
      </c>
      <c r="B104" s="9" t="s">
        <v>95</v>
      </c>
      <c r="C104" s="10" t="s">
        <v>96</v>
      </c>
      <c r="D104" s="42" t="s">
        <v>77</v>
      </c>
      <c r="E104" s="42"/>
      <c r="F104" s="42"/>
      <c r="G104" s="42"/>
      <c r="H104" s="61"/>
      <c r="I104" s="45" t="n">
        <f aca="false">IFERROR(VLOOKUP(D104,参数与锚点!$K$5:$L$8,2,FALSE()),0)</f>
        <v>0</v>
      </c>
    </row>
    <row r="105" customFormat="false" ht="33" hidden="false" customHeight="true" outlineLevel="0" collapsed="false">
      <c r="A105" s="9" t="s">
        <v>271</v>
      </c>
      <c r="B105" s="9" t="s">
        <v>103</v>
      </c>
      <c r="C105" s="9" t="s">
        <v>105</v>
      </c>
      <c r="D105" s="42" t="s">
        <v>77</v>
      </c>
      <c r="E105" s="42"/>
      <c r="F105" s="42"/>
      <c r="G105" s="42"/>
      <c r="H105" s="61"/>
      <c r="I105" s="45" t="n">
        <f aca="false">IFERROR(VLOOKUP(D105,参数与锚点!$K$5:$L$8,2,FALSE()),0)</f>
        <v>0</v>
      </c>
    </row>
    <row r="106" customFormat="false" ht="33" hidden="false" customHeight="true" outlineLevel="0" collapsed="false">
      <c r="A106" s="9" t="s">
        <v>271</v>
      </c>
      <c r="B106" s="9" t="s">
        <v>111</v>
      </c>
      <c r="C106" s="10" t="s">
        <v>112</v>
      </c>
      <c r="D106" s="42" t="s">
        <v>77</v>
      </c>
      <c r="E106" s="42"/>
      <c r="F106" s="42"/>
      <c r="G106" s="42"/>
      <c r="H106" s="61"/>
      <c r="I106" s="45" t="n">
        <f aca="false">IFERROR(VLOOKUP(D106,参数与锚点!$K$5:$L$8,2,FALSE()),0)</f>
        <v>0</v>
      </c>
    </row>
    <row r="107" customFormat="false" ht="33" hidden="false" customHeight="true" outlineLevel="0" collapsed="false">
      <c r="A107" s="9" t="s">
        <v>271</v>
      </c>
      <c r="B107" s="9" t="s">
        <v>118</v>
      </c>
      <c r="C107" s="10" t="s">
        <v>120</v>
      </c>
      <c r="D107" s="42" t="s">
        <v>77</v>
      </c>
      <c r="E107" s="42"/>
      <c r="F107" s="42"/>
      <c r="G107" s="42"/>
      <c r="H107" s="61"/>
      <c r="I107" s="45" t="n">
        <f aca="false">IFERROR(VLOOKUP(D107,参数与锚点!$K$5:$L$8,2,FALSE()),0)</f>
        <v>0</v>
      </c>
    </row>
    <row r="108" customFormat="false" ht="33" hidden="false" customHeight="true" outlineLevel="0" collapsed="false">
      <c r="A108" s="9" t="s">
        <v>271</v>
      </c>
      <c r="B108" s="9" t="s">
        <v>128</v>
      </c>
      <c r="C108" s="10" t="s">
        <v>129</v>
      </c>
      <c r="D108" s="42" t="s">
        <v>77</v>
      </c>
      <c r="E108" s="42"/>
      <c r="F108" s="42"/>
      <c r="G108" s="42"/>
      <c r="H108" s="61"/>
      <c r="I108" s="45" t="n">
        <f aca="false">IFERROR(VLOOKUP(D108,参数与锚点!$K$5:$L$8,2,FALSE()),0)</f>
        <v>0</v>
      </c>
    </row>
    <row r="109" customFormat="false" ht="33" hidden="false" customHeight="true" outlineLevel="0" collapsed="false">
      <c r="A109" s="9" t="s">
        <v>271</v>
      </c>
      <c r="B109" s="9" t="s">
        <v>136</v>
      </c>
      <c r="C109" s="10" t="s">
        <v>138</v>
      </c>
      <c r="D109" s="42" t="s">
        <v>77</v>
      </c>
      <c r="E109" s="42"/>
      <c r="F109" s="42"/>
      <c r="G109" s="42"/>
      <c r="H109" s="61"/>
      <c r="I109" s="45" t="n">
        <f aca="false">IFERROR(VLOOKUP(D109,参数与锚点!$K$5:$L$8,2,FALSE()),0)</f>
        <v>0</v>
      </c>
    </row>
    <row r="110" customFormat="false" ht="33" hidden="false" customHeight="true" outlineLevel="0" collapsed="false">
      <c r="A110" s="9" t="s">
        <v>271</v>
      </c>
      <c r="B110" s="9" t="s">
        <v>145</v>
      </c>
      <c r="C110" s="10" t="s">
        <v>146</v>
      </c>
      <c r="D110" s="42" t="s">
        <v>77</v>
      </c>
      <c r="E110" s="42"/>
      <c r="F110" s="42"/>
      <c r="G110" s="42"/>
      <c r="H110" s="61"/>
      <c r="I110" s="45" t="n">
        <f aca="false">IFERROR(VLOOKUP(D110,参数与锚点!$K$5:$L$8,2,FALSE()),0)</f>
        <v>0</v>
      </c>
    </row>
    <row r="111" customFormat="false" ht="33" hidden="false" customHeight="true" outlineLevel="0" collapsed="false">
      <c r="A111" s="9" t="s">
        <v>271</v>
      </c>
      <c r="B111" s="9" t="s">
        <v>154</v>
      </c>
      <c r="C111" s="10" t="s">
        <v>156</v>
      </c>
      <c r="D111" s="42" t="s">
        <v>77</v>
      </c>
      <c r="E111" s="42"/>
      <c r="F111" s="42"/>
      <c r="G111" s="42"/>
      <c r="H111" s="61"/>
      <c r="I111" s="45" t="n">
        <f aca="false">IFERROR(VLOOKUP(D111,参数与锚点!$K$5:$L$8,2,FALSE()),0)</f>
        <v>0</v>
      </c>
    </row>
    <row r="112" customFormat="false" ht="33" hidden="false" customHeight="true" outlineLevel="0" collapsed="false">
      <c r="A112" s="9" t="s">
        <v>271</v>
      </c>
      <c r="B112" s="9" t="s">
        <v>164</v>
      </c>
      <c r="C112" s="10" t="s">
        <v>165</v>
      </c>
      <c r="D112" s="42" t="s">
        <v>77</v>
      </c>
      <c r="E112" s="42"/>
      <c r="F112" s="42"/>
      <c r="G112" s="42"/>
      <c r="H112" s="61"/>
      <c r="I112" s="45" t="n">
        <f aca="false">IFERROR(VLOOKUP(D112,参数与锚点!$K$5:$L$8,2,FALSE()),0)</f>
        <v>0</v>
      </c>
    </row>
    <row r="113" customFormat="false" ht="33" hidden="false" customHeight="true" outlineLevel="0" collapsed="false">
      <c r="A113" s="9" t="s">
        <v>272</v>
      </c>
      <c r="B113" s="9" t="s">
        <v>69</v>
      </c>
      <c r="C113" s="10" t="s">
        <v>71</v>
      </c>
      <c r="D113" s="42" t="s">
        <v>77</v>
      </c>
      <c r="E113" s="42"/>
      <c r="F113" s="42"/>
      <c r="G113" s="42"/>
      <c r="H113" s="61"/>
      <c r="I113" s="45" t="n">
        <f aca="false">IFERROR(VLOOKUP(D113,参数与锚点!$K$5:$L$8,2,FALSE()),0)</f>
        <v>0</v>
      </c>
    </row>
    <row r="114" customFormat="false" ht="33" hidden="false" customHeight="true" outlineLevel="0" collapsed="false">
      <c r="A114" s="9" t="s">
        <v>272</v>
      </c>
      <c r="B114" s="9" t="s">
        <v>78</v>
      </c>
      <c r="C114" s="10" t="s">
        <v>79</v>
      </c>
      <c r="D114" s="42" t="s">
        <v>77</v>
      </c>
      <c r="E114" s="42"/>
      <c r="F114" s="42"/>
      <c r="G114" s="42"/>
      <c r="H114" s="61"/>
      <c r="I114" s="45" t="n">
        <f aca="false">IFERROR(VLOOKUP(D114,参数与锚点!$K$5:$L$8,2,FALSE()),0)</f>
        <v>0</v>
      </c>
    </row>
    <row r="115" customFormat="false" ht="33" hidden="false" customHeight="true" outlineLevel="0" collapsed="false">
      <c r="A115" s="9" t="s">
        <v>272</v>
      </c>
      <c r="B115" s="9" t="s">
        <v>86</v>
      </c>
      <c r="C115" s="10" t="s">
        <v>88</v>
      </c>
      <c r="D115" s="42" t="s">
        <v>77</v>
      </c>
      <c r="E115" s="42"/>
      <c r="F115" s="42"/>
      <c r="G115" s="42"/>
      <c r="H115" s="61"/>
      <c r="I115" s="45" t="n">
        <f aca="false">IFERROR(VLOOKUP(D115,参数与锚点!$K$5:$L$8,2,FALSE()),0)</f>
        <v>0</v>
      </c>
    </row>
    <row r="116" customFormat="false" ht="33" hidden="false" customHeight="true" outlineLevel="0" collapsed="false">
      <c r="A116" s="9" t="s">
        <v>272</v>
      </c>
      <c r="B116" s="9" t="s">
        <v>95</v>
      </c>
      <c r="C116" s="10" t="s">
        <v>96</v>
      </c>
      <c r="D116" s="42" t="s">
        <v>77</v>
      </c>
      <c r="E116" s="42"/>
      <c r="F116" s="42"/>
      <c r="G116" s="42"/>
      <c r="H116" s="61"/>
      <c r="I116" s="45" t="n">
        <f aca="false">IFERROR(VLOOKUP(D116,参数与锚点!$K$5:$L$8,2,FALSE()),0)</f>
        <v>0</v>
      </c>
    </row>
    <row r="117" customFormat="false" ht="33" hidden="false" customHeight="true" outlineLevel="0" collapsed="false">
      <c r="A117" s="9" t="s">
        <v>272</v>
      </c>
      <c r="B117" s="9" t="s">
        <v>103</v>
      </c>
      <c r="C117" s="9" t="s">
        <v>105</v>
      </c>
      <c r="D117" s="42" t="s">
        <v>77</v>
      </c>
      <c r="E117" s="42"/>
      <c r="F117" s="42"/>
      <c r="G117" s="42"/>
      <c r="H117" s="61"/>
      <c r="I117" s="45" t="n">
        <f aca="false">IFERROR(VLOOKUP(D117,参数与锚点!$K$5:$L$8,2,FALSE()),0)</f>
        <v>0</v>
      </c>
    </row>
    <row r="118" customFormat="false" ht="33" hidden="false" customHeight="true" outlineLevel="0" collapsed="false">
      <c r="A118" s="9" t="s">
        <v>272</v>
      </c>
      <c r="B118" s="9" t="s">
        <v>111</v>
      </c>
      <c r="C118" s="10" t="s">
        <v>112</v>
      </c>
      <c r="D118" s="42" t="s">
        <v>77</v>
      </c>
      <c r="E118" s="42"/>
      <c r="F118" s="42"/>
      <c r="G118" s="42"/>
      <c r="H118" s="61"/>
      <c r="I118" s="45" t="n">
        <f aca="false">IFERROR(VLOOKUP(D118,参数与锚点!$K$5:$L$8,2,FALSE()),0)</f>
        <v>0</v>
      </c>
    </row>
    <row r="119" customFormat="false" ht="33" hidden="false" customHeight="true" outlineLevel="0" collapsed="false">
      <c r="A119" s="9" t="s">
        <v>272</v>
      </c>
      <c r="B119" s="9" t="s">
        <v>118</v>
      </c>
      <c r="C119" s="10" t="s">
        <v>120</v>
      </c>
      <c r="D119" s="42" t="s">
        <v>77</v>
      </c>
      <c r="E119" s="42"/>
      <c r="F119" s="42"/>
      <c r="G119" s="42"/>
      <c r="H119" s="61"/>
      <c r="I119" s="45" t="n">
        <f aca="false">IFERROR(VLOOKUP(D119,参数与锚点!$K$5:$L$8,2,FALSE()),0)</f>
        <v>0</v>
      </c>
    </row>
    <row r="120" customFormat="false" ht="33" hidden="false" customHeight="true" outlineLevel="0" collapsed="false">
      <c r="A120" s="9" t="s">
        <v>272</v>
      </c>
      <c r="B120" s="9" t="s">
        <v>128</v>
      </c>
      <c r="C120" s="10" t="s">
        <v>129</v>
      </c>
      <c r="D120" s="42" t="s">
        <v>77</v>
      </c>
      <c r="E120" s="42"/>
      <c r="F120" s="42"/>
      <c r="G120" s="42"/>
      <c r="H120" s="61"/>
      <c r="I120" s="45" t="n">
        <f aca="false">IFERROR(VLOOKUP(D120,参数与锚点!$K$5:$L$8,2,FALSE()),0)</f>
        <v>0</v>
      </c>
    </row>
    <row r="121" customFormat="false" ht="33" hidden="false" customHeight="true" outlineLevel="0" collapsed="false">
      <c r="A121" s="9" t="s">
        <v>272</v>
      </c>
      <c r="B121" s="9" t="s">
        <v>136</v>
      </c>
      <c r="C121" s="10" t="s">
        <v>138</v>
      </c>
      <c r="D121" s="42" t="s">
        <v>77</v>
      </c>
      <c r="E121" s="42"/>
      <c r="F121" s="42"/>
      <c r="G121" s="42"/>
      <c r="H121" s="61"/>
      <c r="I121" s="45" t="n">
        <f aca="false">IFERROR(VLOOKUP(D121,参数与锚点!$K$5:$L$8,2,FALSE()),0)</f>
        <v>0</v>
      </c>
    </row>
    <row r="122" customFormat="false" ht="33" hidden="false" customHeight="true" outlineLevel="0" collapsed="false">
      <c r="A122" s="9" t="s">
        <v>272</v>
      </c>
      <c r="B122" s="9" t="s">
        <v>145</v>
      </c>
      <c r="C122" s="10" t="s">
        <v>146</v>
      </c>
      <c r="D122" s="42" t="s">
        <v>77</v>
      </c>
      <c r="E122" s="42"/>
      <c r="F122" s="42"/>
      <c r="G122" s="42"/>
      <c r="H122" s="61"/>
      <c r="I122" s="45" t="n">
        <f aca="false">IFERROR(VLOOKUP(D122,参数与锚点!$K$5:$L$8,2,FALSE()),0)</f>
        <v>0</v>
      </c>
    </row>
    <row r="123" customFormat="false" ht="33" hidden="false" customHeight="true" outlineLevel="0" collapsed="false">
      <c r="A123" s="9" t="s">
        <v>272</v>
      </c>
      <c r="B123" s="9" t="s">
        <v>154</v>
      </c>
      <c r="C123" s="10" t="s">
        <v>156</v>
      </c>
      <c r="D123" s="42" t="s">
        <v>77</v>
      </c>
      <c r="E123" s="42"/>
      <c r="F123" s="42"/>
      <c r="G123" s="42"/>
      <c r="H123" s="61"/>
      <c r="I123" s="45" t="n">
        <f aca="false">IFERROR(VLOOKUP(D123,参数与锚点!$K$5:$L$8,2,FALSE()),0)</f>
        <v>0</v>
      </c>
    </row>
    <row r="124" customFormat="false" ht="33" hidden="false" customHeight="true" outlineLevel="0" collapsed="false">
      <c r="A124" s="11" t="s">
        <v>272</v>
      </c>
      <c r="B124" s="11" t="s">
        <v>164</v>
      </c>
      <c r="C124" s="12" t="s">
        <v>165</v>
      </c>
      <c r="D124" s="49" t="s">
        <v>77</v>
      </c>
      <c r="E124" s="48"/>
      <c r="F124" s="48"/>
      <c r="G124" s="48"/>
      <c r="H124" s="62"/>
      <c r="I124" s="52" t="n">
        <f aca="false">IFERROR(VLOOKUP(D124,参数与锚点!$K$5:$L$8,2,FALSE()),0)</f>
        <v>0</v>
      </c>
    </row>
  </sheetData>
  <mergeCells count="2">
    <mergeCell ref="A1:I1"/>
    <mergeCell ref="A2:I2"/>
  </mergeCells>
  <conditionalFormatting sqref="D5:D124">
    <cfRule type="containsText" priority="2" operator="containsText" aboveAverage="0" equalAverage="0" bottom="0" percent="0" rank="0" text="已验证" dxfId="0">
      <formula>NOT(ISERROR(SEARCH("已验证",D5)))</formula>
    </cfRule>
    <cfRule type="containsText" priority="3" operator="containsText" aboveAverage="0" equalAverage="0" bottom="0" percent="0" rank="0" text="有来源" dxfId="3">
      <formula>NOT(ISERROR(SEARCH("有来源",D5)))</formula>
    </cfRule>
    <cfRule type="containsText" priority="4" operator="containsText" aboveAverage="0" equalAverage="0" bottom="0" percent="0" rank="0" text="假设" dxfId="4">
      <formula>NOT(ISERROR(SEARCH("假设",D5)))</formula>
    </cfRule>
    <cfRule type="containsText" priority="5" operator="containsText" aboveAverage="0" equalAverage="0" bottom="0" percent="0" rank="0" text="未提供" dxfId="5">
      <formula>NOT(ISERROR(SEARCH("未提供",D5)))</formula>
    </cfRule>
  </conditionalFormatting>
  <conditionalFormatting sqref="I5:I124">
    <cfRule type="dataBar" priority="6">
      <dataBar showValue="1" minLength="10" maxLength="90">
        <cfvo type="min" val="0"/>
        <cfvo type="max" val="0"/>
        <color rgb="FF0F766E"/>
      </dataBar>
      <extLst>
        <ext xmlns:x14="http://schemas.microsoft.com/office/spreadsheetml/2009/9/main" uri="{B025F937-C7B1-47D3-B67F-A62EFF666E3E}">
          <x14:id>{2BD41E1E-CB69-4329-971D-68B66AB85176}</x14:id>
        </ext>
      </extLst>
    </cfRule>
  </conditionalFormatting>
  <dataValidations count="1">
    <dataValidation allowBlank="false" errorStyle="stop" operator="between" showDropDown="false" showErrorMessage="false" showInputMessage="false" sqref="D5:D124" type="list">
      <formula1>"未提供,假设,有来源,已验证"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D41E1E-CB69-4329-971D-68B66AB85176}">
            <x14:dataBar minLength="10" maxLength="90" axisPosition="none" gradient="true">
              <x14:cfvo type="min"/>
              <x14:cfvo type="max"/>
              <x14:negativeFillColor rgb="FF0F766E"/>
              <x14:axisColor rgb="FF000000"/>
            </x14:dataBar>
          </x14:cfRule>
          <xm:sqref>I5:I124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1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8" min="8" style="0" width="35"/>
    <col collapsed="false" customWidth="true" hidden="false" outlineLevel="0" max="9" min="9" style="0" width="3"/>
    <col collapsed="false" customWidth="true" hidden="false" outlineLevel="0" max="15" min="10" style="0" width="12"/>
    <col collapsed="false" customWidth="true" hidden="false" outlineLevel="0" max="17" min="16" style="0" width="3"/>
  </cols>
  <sheetData>
    <row r="1" customFormat="false" ht="33.75" hidden="false" customHeight="true" outlineLevel="0" collapsed="false">
      <c r="A1" s="22" t="s">
        <v>309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 customFormat="false" ht="30" hidden="false" customHeight="true" outlineLevel="0" collapsed="false">
      <c r="A2" s="2" t="s">
        <v>310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33.75" hidden="false" customHeight="true" outlineLevel="0" collapsed="false">
      <c r="A4" s="63" t="n">
        <f aca="false">COUNT(项目清单!$AB$5:$AB$14)</f>
        <v>3</v>
      </c>
      <c r="B4" s="63"/>
      <c r="C4" s="63"/>
      <c r="E4" s="63" t="n">
        <f aca="false">COUNTIF(项目清单!$Q$5:$Q$14,"通过")</f>
        <v>0</v>
      </c>
      <c r="F4" s="63"/>
      <c r="G4" s="63"/>
      <c r="I4" s="63" t="n">
        <f aca="false">COUNTIF(项目清单!$AC$5:$AC$14,"优先")</f>
        <v>0</v>
      </c>
      <c r="J4" s="63"/>
      <c r="K4" s="63"/>
      <c r="M4" s="64" t="n">
        <f aca="false">MAX(项目清单!$X$5:$X$14)</f>
        <v>76.4</v>
      </c>
      <c r="N4" s="64"/>
      <c r="O4" s="64"/>
    </row>
    <row r="5" customFormat="false" ht="15" hidden="false" customHeight="false" outlineLevel="0" collapsed="false">
      <c r="A5" s="65" t="s">
        <v>311</v>
      </c>
      <c r="B5" s="65"/>
      <c r="C5" s="65"/>
      <c r="E5" s="65" t="s">
        <v>312</v>
      </c>
      <c r="F5" s="65"/>
      <c r="G5" s="65"/>
      <c r="I5" s="65" t="s">
        <v>313</v>
      </c>
      <c r="J5" s="65"/>
      <c r="K5" s="65"/>
      <c r="M5" s="65" t="s">
        <v>314</v>
      </c>
      <c r="N5" s="65"/>
      <c r="O5" s="65"/>
    </row>
    <row r="7" customFormat="false" ht="31.5" hidden="false" customHeight="true" outlineLevel="0" collapsed="false">
      <c r="A7" s="4" t="s">
        <v>228</v>
      </c>
      <c r="B7" s="5" t="s">
        <v>315</v>
      </c>
      <c r="C7" s="5" t="s">
        <v>224</v>
      </c>
      <c r="D7" s="5" t="s">
        <v>316</v>
      </c>
      <c r="E7" s="5" t="s">
        <v>317</v>
      </c>
      <c r="F7" s="5" t="s">
        <v>226</v>
      </c>
      <c r="G7" s="5" t="s">
        <v>229</v>
      </c>
      <c r="H7" s="6" t="s">
        <v>318</v>
      </c>
    </row>
    <row r="8" customFormat="false" ht="33.75" hidden="false" customHeight="true" outlineLevel="0" collapsed="false">
      <c r="A8" s="7" t="n">
        <v>1</v>
      </c>
      <c r="B8" s="7" t="str">
        <f aca="false">IFERROR(INDEX(项目清单!$B$5:$B$14,MATCH(A8,项目清单!$AB$5:$AB$14,0)),"")</f>
        <v>示例｜港口多模态异常值守</v>
      </c>
      <c r="C8" s="66" t="n">
        <f aca="false">IF(B8="","",INDEX(项目清单!$X$5:$X$14,MATCH(A8,项目清单!$AB$5:$AB$14,0)))</f>
        <v>76.4</v>
      </c>
      <c r="D8" s="26" t="n">
        <f aca="false">IF(B8="","",INDEX(项目清单!$Y$5:$Y$14,MATCH(A8,项目清单!$AB$5:$AB$14,0)))</f>
        <v>0.454166666666667</v>
      </c>
      <c r="E8" s="8" t="str">
        <f aca="false">IF(B8="","",INDEX(项目清单!$Q$5:$Q$14,MATCH(A8,项目清单!$AB$5:$AB$14,0)))</f>
        <v>待验证</v>
      </c>
      <c r="F8" s="26" t="n">
        <f aca="false">IF(B8="","",INDEX(项目清单!$Z$5:$Z$14,MATCH(A8,项目清单!$AB$5:$AB$14,0)))</f>
        <v>1</v>
      </c>
      <c r="G8" s="8" t="str">
        <f aca="false">IF(B8="","",INDEX(项目清单!$AC$5:$AC$14,MATCH(A8,项目清单!$AB$5:$AB$14,0)))</f>
        <v>进入24h验证</v>
      </c>
      <c r="H8" s="7" t="str">
        <f aca="false">IF(B8="","",INDEX(项目清单!$AD$5:$AD$14,MATCH(A8,项目清单!$AB$5:$AB$14,0)))</f>
        <v>确认可合法下载的数据；在Spark上验证两条模型路径与内存预算</v>
      </c>
    </row>
    <row r="9" customFormat="false" ht="33.75" hidden="false" customHeight="true" outlineLevel="0" collapsed="false">
      <c r="A9" s="9" t="n">
        <v>2</v>
      </c>
      <c r="B9" s="9" t="str">
        <f aca="false">IFERROR(INDEX(项目清单!$B$5:$B$14,MATCH(A9,项目清单!$AB$5:$AB$14,0)),"")</f>
        <v>示例｜海事事故证据复盘助手</v>
      </c>
      <c r="C9" s="67" t="n">
        <f aca="false">IF(B9="","",INDEX(项目清单!$X$5:$X$14,MATCH(A9,项目清单!$AB$5:$AB$14,0)))</f>
        <v>71.8</v>
      </c>
      <c r="D9" s="28" t="n">
        <f aca="false">IF(B9="","",INDEX(项目清单!$Y$5:$Y$14,MATCH(A9,项目清单!$AB$5:$AB$14,0)))</f>
        <v>0.5125</v>
      </c>
      <c r="E9" s="10" t="str">
        <f aca="false">IF(B9="","",INDEX(项目清单!$Q$5:$Q$14,MATCH(A9,项目清单!$AB$5:$AB$14,0)))</f>
        <v>待验证</v>
      </c>
      <c r="F9" s="28" t="n">
        <f aca="false">IF(B9="","",INDEX(项目清单!$Z$5:$Z$14,MATCH(A9,项目清单!$AB$5:$AB$14,0)))</f>
        <v>1</v>
      </c>
      <c r="G9" s="10" t="str">
        <f aca="false">IF(B9="","",INDEX(项目清单!$AC$5:$AC$14,MATCH(A9,项目清单!$AB$5:$AB$14,0)))</f>
        <v>进入24h验证</v>
      </c>
      <c r="H9" s="9" t="str">
        <f aca="false">IF(B9="","",INDEX(项目清单!$AD$5:$AD$14,MATCH(A9,项目清单!$AB$5:$AB$14,0)))</f>
        <v>确认事故数据许可；做一条可复现的时间线异常基线</v>
      </c>
    </row>
    <row r="10" customFormat="false" ht="33.75" hidden="false" customHeight="true" outlineLevel="0" collapsed="false">
      <c r="A10" s="9" t="n">
        <v>3</v>
      </c>
      <c r="B10" s="9" t="str">
        <f aca="false">IFERROR(INDEX(项目清单!$B$5:$B$14,MATCH(A10,项目清单!$AB$5:$AB$14,0)),"")</f>
        <v>示例｜船员疲劳与跌倒预警</v>
      </c>
      <c r="C10" s="67" t="n">
        <f aca="false">IF(B10="","",INDEX(项目清单!$X$5:$X$14,MATCH(A10,项目清单!$AB$5:$AB$14,0)))</f>
        <v>69.8</v>
      </c>
      <c r="D10" s="28" t="n">
        <f aca="false">IF(B10="","",INDEX(项目清单!$Y$5:$Y$14,MATCH(A10,项目清单!$AB$5:$AB$14,0)))</f>
        <v>0.425</v>
      </c>
      <c r="E10" s="10" t="str">
        <f aca="false">IF(B10="","",INDEX(项目清单!$Q$5:$Q$14,MATCH(A10,项目清单!$AB$5:$AB$14,0)))</f>
        <v>待验证</v>
      </c>
      <c r="F10" s="28" t="n">
        <f aca="false">IF(B10="","",INDEX(项目清单!$Z$5:$Z$14,MATCH(A10,项目清单!$AB$5:$AB$14,0)))</f>
        <v>1</v>
      </c>
      <c r="G10" s="10" t="str">
        <f aca="false">IF(B10="","",INDEX(项目清单!$AC$5:$AC$14,MATCH(A10,项目清单!$AB$5:$AB$14,0)))</f>
        <v>进入24h验证</v>
      </c>
      <c r="H10" s="9" t="str">
        <f aca="false">IF(B10="","",INDEX(项目清单!$AD$5:$AD$14,MATCH(A10,项目清单!$AB$5:$AB$14,0)))</f>
        <v>锁定跌倒/疲劳标注规范；验证姿态与音频融合是否降低误报</v>
      </c>
    </row>
    <row r="11" customFormat="false" ht="33.75" hidden="false" customHeight="true" outlineLevel="0" collapsed="false">
      <c r="A11" s="9" t="n">
        <v>4</v>
      </c>
      <c r="B11" s="9" t="str">
        <f aca="false">IFERROR(INDEX(项目清单!$B$5:$B$14,MATCH(A11,项目清单!$AB$5:$AB$14,0)),"")</f>
        <v/>
      </c>
      <c r="C11" s="67" t="str">
        <f aca="false">IF(B11="","",INDEX(项目清单!$X$5:$X$14,MATCH(A11,项目清单!$AB$5:$AB$14,0)))</f>
        <v/>
      </c>
      <c r="D11" s="28" t="str">
        <f aca="false">IF(B11="","",INDEX(项目清单!$Y$5:$Y$14,MATCH(A11,项目清单!$AB$5:$AB$14,0)))</f>
        <v/>
      </c>
      <c r="E11" s="10" t="str">
        <f aca="false">IF(B11="","",INDEX(项目清单!$Q$5:$Q$14,MATCH(A11,项目清单!$AB$5:$AB$14,0)))</f>
        <v/>
      </c>
      <c r="F11" s="28" t="str">
        <f aca="false">IF(B11="","",INDEX(项目清单!$Z$5:$Z$14,MATCH(A11,项目清单!$AB$5:$AB$14,0)))</f>
        <v/>
      </c>
      <c r="G11" s="10" t="str">
        <f aca="false">IF(B11="","",INDEX(项目清单!$AC$5:$AC$14,MATCH(A11,项目清单!$AB$5:$AB$14,0)))</f>
        <v/>
      </c>
      <c r="H11" s="9" t="str">
        <f aca="false">IF(B11="","",INDEX(项目清单!$AD$5:$AD$14,MATCH(A11,项目清单!$AB$5:$AB$14,0)))</f>
        <v/>
      </c>
    </row>
    <row r="12" customFormat="false" ht="33.75" hidden="false" customHeight="true" outlineLevel="0" collapsed="false">
      <c r="A12" s="9" t="n">
        <v>5</v>
      </c>
      <c r="B12" s="9" t="str">
        <f aca="false">IFERROR(INDEX(项目清单!$B$5:$B$14,MATCH(A12,项目清单!$AB$5:$AB$14,0)),"")</f>
        <v/>
      </c>
      <c r="C12" s="67" t="str">
        <f aca="false">IF(B12="","",INDEX(项目清单!$X$5:$X$14,MATCH(A12,项目清单!$AB$5:$AB$14,0)))</f>
        <v/>
      </c>
      <c r="D12" s="28" t="str">
        <f aca="false">IF(B12="","",INDEX(项目清单!$Y$5:$Y$14,MATCH(A12,项目清单!$AB$5:$AB$14,0)))</f>
        <v/>
      </c>
      <c r="E12" s="10" t="str">
        <f aca="false">IF(B12="","",INDEX(项目清单!$Q$5:$Q$14,MATCH(A12,项目清单!$AB$5:$AB$14,0)))</f>
        <v/>
      </c>
      <c r="F12" s="28" t="str">
        <f aca="false">IF(B12="","",INDEX(项目清单!$Z$5:$Z$14,MATCH(A12,项目清单!$AB$5:$AB$14,0)))</f>
        <v/>
      </c>
      <c r="G12" s="10" t="str">
        <f aca="false">IF(B12="","",INDEX(项目清单!$AC$5:$AC$14,MATCH(A12,项目清单!$AB$5:$AB$14,0)))</f>
        <v/>
      </c>
      <c r="H12" s="9" t="str">
        <f aca="false">IF(B12="","",INDEX(项目清单!$AD$5:$AD$14,MATCH(A12,项目清单!$AB$5:$AB$14,0)))</f>
        <v/>
      </c>
    </row>
    <row r="13" customFormat="false" ht="33.75" hidden="false" customHeight="true" outlineLevel="0" collapsed="false">
      <c r="A13" s="9" t="n">
        <v>6</v>
      </c>
      <c r="B13" s="9" t="str">
        <f aca="false">IFERROR(INDEX(项目清单!$B$5:$B$14,MATCH(A13,项目清单!$AB$5:$AB$14,0)),"")</f>
        <v/>
      </c>
      <c r="C13" s="67" t="str">
        <f aca="false">IF(B13="","",INDEX(项目清单!$X$5:$X$14,MATCH(A13,项目清单!$AB$5:$AB$14,0)))</f>
        <v/>
      </c>
      <c r="D13" s="28" t="str">
        <f aca="false">IF(B13="","",INDEX(项目清单!$Y$5:$Y$14,MATCH(A13,项目清单!$AB$5:$AB$14,0)))</f>
        <v/>
      </c>
      <c r="E13" s="10" t="str">
        <f aca="false">IF(B13="","",INDEX(项目清单!$Q$5:$Q$14,MATCH(A13,项目清单!$AB$5:$AB$14,0)))</f>
        <v/>
      </c>
      <c r="F13" s="28" t="str">
        <f aca="false">IF(B13="","",INDEX(项目清单!$Z$5:$Z$14,MATCH(A13,项目清单!$AB$5:$AB$14,0)))</f>
        <v/>
      </c>
      <c r="G13" s="10" t="str">
        <f aca="false">IF(B13="","",INDEX(项目清单!$AC$5:$AC$14,MATCH(A13,项目清单!$AB$5:$AB$14,0)))</f>
        <v/>
      </c>
      <c r="H13" s="9" t="str">
        <f aca="false">IF(B13="","",INDEX(项目清单!$AD$5:$AD$14,MATCH(A13,项目清单!$AB$5:$AB$14,0)))</f>
        <v/>
      </c>
    </row>
    <row r="14" customFormat="false" ht="33.75" hidden="false" customHeight="true" outlineLevel="0" collapsed="false">
      <c r="A14" s="9" t="n">
        <v>7</v>
      </c>
      <c r="B14" s="9" t="str">
        <f aca="false">IFERROR(INDEX(项目清单!$B$5:$B$14,MATCH(A14,项目清单!$AB$5:$AB$14,0)),"")</f>
        <v/>
      </c>
      <c r="C14" s="67" t="str">
        <f aca="false">IF(B14="","",INDEX(项目清单!$X$5:$X$14,MATCH(A14,项目清单!$AB$5:$AB$14,0)))</f>
        <v/>
      </c>
      <c r="D14" s="28" t="str">
        <f aca="false">IF(B14="","",INDEX(项目清单!$Y$5:$Y$14,MATCH(A14,项目清单!$AB$5:$AB$14,0)))</f>
        <v/>
      </c>
      <c r="E14" s="10" t="str">
        <f aca="false">IF(B14="","",INDEX(项目清单!$Q$5:$Q$14,MATCH(A14,项目清单!$AB$5:$AB$14,0)))</f>
        <v/>
      </c>
      <c r="F14" s="28" t="str">
        <f aca="false">IF(B14="","",INDEX(项目清单!$Z$5:$Z$14,MATCH(A14,项目清单!$AB$5:$AB$14,0)))</f>
        <v/>
      </c>
      <c r="G14" s="10" t="str">
        <f aca="false">IF(B14="","",INDEX(项目清单!$AC$5:$AC$14,MATCH(A14,项目清单!$AB$5:$AB$14,0)))</f>
        <v/>
      </c>
      <c r="H14" s="9" t="str">
        <f aca="false">IF(B14="","",INDEX(项目清单!$AD$5:$AD$14,MATCH(A14,项目清单!$AB$5:$AB$14,0)))</f>
        <v/>
      </c>
    </row>
    <row r="15" customFormat="false" ht="33.75" hidden="false" customHeight="true" outlineLevel="0" collapsed="false">
      <c r="A15" s="9" t="n">
        <v>8</v>
      </c>
      <c r="B15" s="9" t="str">
        <f aca="false">IFERROR(INDEX(项目清单!$B$5:$B$14,MATCH(A15,项目清单!$AB$5:$AB$14,0)),"")</f>
        <v/>
      </c>
      <c r="C15" s="67" t="str">
        <f aca="false">IF(B15="","",INDEX(项目清单!$X$5:$X$14,MATCH(A15,项目清单!$AB$5:$AB$14,0)))</f>
        <v/>
      </c>
      <c r="D15" s="28" t="str">
        <f aca="false">IF(B15="","",INDEX(项目清单!$Y$5:$Y$14,MATCH(A15,项目清单!$AB$5:$AB$14,0)))</f>
        <v/>
      </c>
      <c r="E15" s="10" t="str">
        <f aca="false">IF(B15="","",INDEX(项目清单!$Q$5:$Q$14,MATCH(A15,项目清单!$AB$5:$AB$14,0)))</f>
        <v/>
      </c>
      <c r="F15" s="28" t="str">
        <f aca="false">IF(B15="","",INDEX(项目清单!$Z$5:$Z$14,MATCH(A15,项目清单!$AB$5:$AB$14,0)))</f>
        <v/>
      </c>
      <c r="G15" s="10" t="str">
        <f aca="false">IF(B15="","",INDEX(项目清单!$AC$5:$AC$14,MATCH(A15,项目清单!$AB$5:$AB$14,0)))</f>
        <v/>
      </c>
      <c r="H15" s="9" t="str">
        <f aca="false">IF(B15="","",INDEX(项目清单!$AD$5:$AD$14,MATCH(A15,项目清单!$AB$5:$AB$14,0)))</f>
        <v/>
      </c>
    </row>
    <row r="16" customFormat="false" ht="33.75" hidden="false" customHeight="true" outlineLevel="0" collapsed="false">
      <c r="A16" s="9" t="n">
        <v>9</v>
      </c>
      <c r="B16" s="9" t="str">
        <f aca="false">IFERROR(INDEX(项目清单!$B$5:$B$14,MATCH(A16,项目清单!$AB$5:$AB$14,0)),"")</f>
        <v/>
      </c>
      <c r="C16" s="67" t="str">
        <f aca="false">IF(B16="","",INDEX(项目清单!$X$5:$X$14,MATCH(A16,项目清单!$AB$5:$AB$14,0)))</f>
        <v/>
      </c>
      <c r="D16" s="28" t="str">
        <f aca="false">IF(B16="","",INDEX(项目清单!$Y$5:$Y$14,MATCH(A16,项目清单!$AB$5:$AB$14,0)))</f>
        <v/>
      </c>
      <c r="E16" s="10" t="str">
        <f aca="false">IF(B16="","",INDEX(项目清单!$Q$5:$Q$14,MATCH(A16,项目清单!$AB$5:$AB$14,0)))</f>
        <v/>
      </c>
      <c r="F16" s="28" t="str">
        <f aca="false">IF(B16="","",INDEX(项目清单!$Z$5:$Z$14,MATCH(A16,项目清单!$AB$5:$AB$14,0)))</f>
        <v/>
      </c>
      <c r="G16" s="10" t="str">
        <f aca="false">IF(B16="","",INDEX(项目清单!$AC$5:$AC$14,MATCH(A16,项目清单!$AB$5:$AB$14,0)))</f>
        <v/>
      </c>
      <c r="H16" s="9" t="str">
        <f aca="false">IF(B16="","",INDEX(项目清单!$AD$5:$AD$14,MATCH(A16,项目清单!$AB$5:$AB$14,0)))</f>
        <v/>
      </c>
    </row>
    <row r="17" customFormat="false" ht="33.75" hidden="false" customHeight="true" outlineLevel="0" collapsed="false">
      <c r="A17" s="11" t="n">
        <v>10</v>
      </c>
      <c r="B17" s="11" t="str">
        <f aca="false">IFERROR(INDEX(项目清单!$B$5:$B$14,MATCH(A17,项目清单!$AB$5:$AB$14,0)),"")</f>
        <v/>
      </c>
      <c r="C17" s="68" t="str">
        <f aca="false">IF(B17="","",INDEX(项目清单!$X$5:$X$14,MATCH(A17,项目清单!$AB$5:$AB$14,0)))</f>
        <v/>
      </c>
      <c r="D17" s="29" t="str">
        <f aca="false">IF(B17="","",INDEX(项目清单!$Y$5:$Y$14,MATCH(A17,项目清单!$AB$5:$AB$14,0)))</f>
        <v/>
      </c>
      <c r="E17" s="11" t="str">
        <f aca="false">IF(B17="","",INDEX(项目清单!$Q$5:$Q$14,MATCH(A17,项目清单!$AB$5:$AB$14,0)))</f>
        <v/>
      </c>
      <c r="F17" s="29" t="str">
        <f aca="false">IF(B17="","",INDEX(项目清单!$Z$5:$Z$14,MATCH(A17,项目清单!$AB$5:$AB$14,0)))</f>
        <v/>
      </c>
      <c r="G17" s="11" t="str">
        <f aca="false">IF(B17="","",INDEX(项目清单!$AC$5:$AC$14,MATCH(A17,项目清单!$AB$5:$AB$14,0)))</f>
        <v/>
      </c>
      <c r="H17" s="11" t="str">
        <f aca="false">IF(B17="","",INDEX(项目清单!$AD$5:$AD$14,MATCH(A17,项目清单!$AB$5:$AB$14,0)))</f>
        <v/>
      </c>
    </row>
    <row r="20" customFormat="false" ht="31.5" hidden="false" customHeight="true" outlineLevel="0" collapsed="false">
      <c r="A20" s="4" t="s">
        <v>315</v>
      </c>
      <c r="B20" s="5" t="s">
        <v>218</v>
      </c>
      <c r="C20" s="5" t="s">
        <v>219</v>
      </c>
      <c r="D20" s="24" t="s">
        <v>220</v>
      </c>
      <c r="E20" s="5" t="s">
        <v>221</v>
      </c>
      <c r="F20" s="5" t="s">
        <v>222</v>
      </c>
      <c r="G20" s="6" t="s">
        <v>223</v>
      </c>
    </row>
    <row r="21" customFormat="false" ht="27.75" hidden="false" customHeight="true" outlineLevel="0" collapsed="false">
      <c r="A21" s="7" t="str">
        <f aca="false">IFERROR(INDEX(项目清单!$B$5:$B$14,MATCH(1,项目清单!$AB$5:$AB$14,0)),"")</f>
        <v>示例｜港口多模态异常值守</v>
      </c>
      <c r="B21" s="66" t="n">
        <f aca="false">IF($A21="","",INDEX(项目清单!$R$5:$R$14,MATCH(1,项目清单!$AB$5:$AB$14,0)))</f>
        <v>14</v>
      </c>
      <c r="C21" s="66" t="n">
        <f aca="false">IF($A21="","",INDEX(项目清单!$S$5:$S$14,MATCH(1,项目清单!$AB$5:$AB$14,0)))</f>
        <v>10.6</v>
      </c>
      <c r="D21" s="66" t="n">
        <f aca="false">IF($A21="","",INDEX(项目清单!$T$5:$T$14,MATCH(1,项目清单!$AB$5:$AB$14,0)))</f>
        <v>12.2</v>
      </c>
      <c r="E21" s="66" t="n">
        <f aca="false">IF($A21="","",INDEX(项目清单!$U$5:$U$14,MATCH(1,项目清单!$AB$5:$AB$14,0)))</f>
        <v>15</v>
      </c>
      <c r="F21" s="66" t="n">
        <f aca="false">IF($A21="","",INDEX(项目清单!$V$5:$V$14,MATCH(1,项目清单!$AB$5:$AB$14,0)))</f>
        <v>14</v>
      </c>
      <c r="G21" s="66" t="n">
        <f aca="false">IF($A21="","",INDEX(项目清单!$W$5:$W$14,MATCH(1,项目清单!$AB$5:$AB$14,0)))</f>
        <v>10.6</v>
      </c>
    </row>
    <row r="22" customFormat="false" ht="27.75" hidden="false" customHeight="true" outlineLevel="0" collapsed="false">
      <c r="A22" s="9" t="str">
        <f aca="false">IFERROR(INDEX(项目清单!$B$5:$B$14,MATCH(2,项目清单!$AB$5:$AB$14,0)),"")</f>
        <v>示例｜海事事故证据复盘助手</v>
      </c>
      <c r="B22" s="67" t="n">
        <f aca="false">IF($A22="","",INDEX(项目清单!$R$5:$R$14,MATCH(2,项目清单!$AB$5:$AB$14,0)))</f>
        <v>12</v>
      </c>
      <c r="C22" s="67" t="n">
        <f aca="false">IF($A22="","",INDEX(项目清单!$S$5:$S$14,MATCH(2,项目清单!$AB$5:$AB$14,0)))</f>
        <v>10.6</v>
      </c>
      <c r="D22" s="67" t="n">
        <f aca="false">IF($A22="","",INDEX(项目清单!$T$5:$T$14,MATCH(2,项目清单!$AB$5:$AB$14,0)))</f>
        <v>10.6</v>
      </c>
      <c r="E22" s="67" t="n">
        <f aca="false">IF($A22="","",INDEX(项目清单!$U$5:$U$14,MATCH(2,项目清单!$AB$5:$AB$14,0)))</f>
        <v>12</v>
      </c>
      <c r="F22" s="67" t="n">
        <f aca="false">IF($A22="","",INDEX(项目清单!$V$5:$V$14,MATCH(2,项目清单!$AB$5:$AB$14,0)))</f>
        <v>16</v>
      </c>
      <c r="G22" s="67" t="n">
        <f aca="false">IF($A22="","",INDEX(项目清单!$W$5:$W$14,MATCH(2,项目清单!$AB$5:$AB$14,0)))</f>
        <v>10.6</v>
      </c>
    </row>
    <row r="23" customFormat="false" ht="27.75" hidden="false" customHeight="true" outlineLevel="0" collapsed="false">
      <c r="A23" s="9" t="str">
        <f aca="false">IFERROR(INDEX(项目清单!$B$5:$B$14,MATCH(3,项目清单!$AB$5:$AB$14,0)),"")</f>
        <v>示例｜船员疲劳与跌倒预警</v>
      </c>
      <c r="B23" s="67" t="n">
        <f aca="false">IF($A23="","",INDEX(项目清单!$R$5:$R$14,MATCH(3,项目清单!$AB$5:$AB$14,0)))</f>
        <v>14</v>
      </c>
      <c r="C23" s="67" t="n">
        <f aca="false">IF($A23="","",INDEX(项目清单!$S$5:$S$14,MATCH(3,项目清单!$AB$5:$AB$14,0)))</f>
        <v>10.6</v>
      </c>
      <c r="D23" s="67" t="n">
        <f aca="false">IF($A23="","",INDEX(项目清单!$T$5:$T$14,MATCH(3,项目清单!$AB$5:$AB$14,0)))</f>
        <v>10.6</v>
      </c>
      <c r="E23" s="67" t="n">
        <f aca="false">IF($A23="","",INDEX(项目清单!$U$5:$U$14,MATCH(3,项目清单!$AB$5:$AB$14,0)))</f>
        <v>12</v>
      </c>
      <c r="F23" s="67" t="n">
        <f aca="false">IF($A23="","",INDEX(项目清单!$V$5:$V$14,MATCH(3,项目清单!$AB$5:$AB$14,0)))</f>
        <v>12</v>
      </c>
      <c r="G23" s="67" t="n">
        <f aca="false">IF($A23="","",INDEX(项目清单!$W$5:$W$14,MATCH(3,项目清单!$AB$5:$AB$14,0)))</f>
        <v>10.6</v>
      </c>
    </row>
    <row r="24" customFormat="false" ht="27.75" hidden="false" customHeight="true" outlineLevel="0" collapsed="false">
      <c r="A24" s="9" t="str">
        <f aca="false">IFERROR(INDEX(项目清单!$B$5:$B$14,MATCH(4,项目清单!$AB$5:$AB$14,0)),"")</f>
        <v/>
      </c>
      <c r="B24" s="67" t="str">
        <f aca="false">IF($A24="","",INDEX(项目清单!$R$5:$R$14,MATCH(4,项目清单!$AB$5:$AB$14,0)))</f>
        <v/>
      </c>
      <c r="C24" s="67" t="str">
        <f aca="false">IF($A24="","",INDEX(项目清单!$S$5:$S$14,MATCH(4,项目清单!$AB$5:$AB$14,0)))</f>
        <v/>
      </c>
      <c r="D24" s="67" t="str">
        <f aca="false">IF($A24="","",INDEX(项目清单!$T$5:$T$14,MATCH(4,项目清单!$AB$5:$AB$14,0)))</f>
        <v/>
      </c>
      <c r="E24" s="67" t="str">
        <f aca="false">IF($A24="","",INDEX(项目清单!$U$5:$U$14,MATCH(4,项目清单!$AB$5:$AB$14,0)))</f>
        <v/>
      </c>
      <c r="F24" s="67" t="str">
        <f aca="false">IF($A24="","",INDEX(项目清单!$V$5:$V$14,MATCH(4,项目清单!$AB$5:$AB$14,0)))</f>
        <v/>
      </c>
      <c r="G24" s="67" t="str">
        <f aca="false">IF($A24="","",INDEX(项目清单!$W$5:$W$14,MATCH(4,项目清单!$AB$5:$AB$14,0)))</f>
        <v/>
      </c>
    </row>
    <row r="25" customFormat="false" ht="27.75" hidden="false" customHeight="true" outlineLevel="0" collapsed="false">
      <c r="A25" s="9" t="str">
        <f aca="false">IFERROR(INDEX(项目清单!$B$5:$B$14,MATCH(5,项目清单!$AB$5:$AB$14,0)),"")</f>
        <v/>
      </c>
      <c r="B25" s="67" t="str">
        <f aca="false">IF($A25="","",INDEX(项目清单!$R$5:$R$14,MATCH(5,项目清单!$AB$5:$AB$14,0)))</f>
        <v/>
      </c>
      <c r="C25" s="67" t="str">
        <f aca="false">IF($A25="","",INDEX(项目清单!$S$5:$S$14,MATCH(5,项目清单!$AB$5:$AB$14,0)))</f>
        <v/>
      </c>
      <c r="D25" s="67" t="str">
        <f aca="false">IF($A25="","",INDEX(项目清单!$T$5:$T$14,MATCH(5,项目清单!$AB$5:$AB$14,0)))</f>
        <v/>
      </c>
      <c r="E25" s="67" t="str">
        <f aca="false">IF($A25="","",INDEX(项目清单!$U$5:$U$14,MATCH(5,项目清单!$AB$5:$AB$14,0)))</f>
        <v/>
      </c>
      <c r="F25" s="67" t="str">
        <f aca="false">IF($A25="","",INDEX(项目清单!$V$5:$V$14,MATCH(5,项目清单!$AB$5:$AB$14,0)))</f>
        <v/>
      </c>
      <c r="G25" s="67" t="str">
        <f aca="false">IF($A25="","",INDEX(项目清单!$W$5:$W$14,MATCH(5,项目清单!$AB$5:$AB$14,0)))</f>
        <v/>
      </c>
    </row>
    <row r="26" customFormat="false" ht="27.75" hidden="false" customHeight="true" outlineLevel="0" collapsed="false">
      <c r="A26" s="9" t="str">
        <f aca="false">IFERROR(INDEX(项目清单!$B$5:$B$14,MATCH(6,项目清单!$AB$5:$AB$14,0)),"")</f>
        <v/>
      </c>
      <c r="B26" s="67" t="str">
        <f aca="false">IF($A26="","",INDEX(项目清单!$R$5:$R$14,MATCH(6,项目清单!$AB$5:$AB$14,0)))</f>
        <v/>
      </c>
      <c r="C26" s="67" t="str">
        <f aca="false">IF($A26="","",INDEX(项目清单!$S$5:$S$14,MATCH(6,项目清单!$AB$5:$AB$14,0)))</f>
        <v/>
      </c>
      <c r="D26" s="67" t="str">
        <f aca="false">IF($A26="","",INDEX(项目清单!$T$5:$T$14,MATCH(6,项目清单!$AB$5:$AB$14,0)))</f>
        <v/>
      </c>
      <c r="E26" s="67" t="str">
        <f aca="false">IF($A26="","",INDEX(项目清单!$U$5:$U$14,MATCH(6,项目清单!$AB$5:$AB$14,0)))</f>
        <v/>
      </c>
      <c r="F26" s="67" t="str">
        <f aca="false">IF($A26="","",INDEX(项目清单!$V$5:$V$14,MATCH(6,项目清单!$AB$5:$AB$14,0)))</f>
        <v/>
      </c>
      <c r="G26" s="67" t="str">
        <f aca="false">IF($A26="","",INDEX(项目清单!$W$5:$W$14,MATCH(6,项目清单!$AB$5:$AB$14,0)))</f>
        <v/>
      </c>
    </row>
    <row r="27" customFormat="false" ht="27.75" hidden="false" customHeight="true" outlineLevel="0" collapsed="false">
      <c r="A27" s="9" t="str">
        <f aca="false">IFERROR(INDEX(项目清单!$B$5:$B$14,MATCH(7,项目清单!$AB$5:$AB$14,0)),"")</f>
        <v/>
      </c>
      <c r="B27" s="67" t="str">
        <f aca="false">IF($A27="","",INDEX(项目清单!$R$5:$R$14,MATCH(7,项目清单!$AB$5:$AB$14,0)))</f>
        <v/>
      </c>
      <c r="C27" s="67" t="str">
        <f aca="false">IF($A27="","",INDEX(项目清单!$S$5:$S$14,MATCH(7,项目清单!$AB$5:$AB$14,0)))</f>
        <v/>
      </c>
      <c r="D27" s="67" t="str">
        <f aca="false">IF($A27="","",INDEX(项目清单!$T$5:$T$14,MATCH(7,项目清单!$AB$5:$AB$14,0)))</f>
        <v/>
      </c>
      <c r="E27" s="67" t="str">
        <f aca="false">IF($A27="","",INDEX(项目清单!$U$5:$U$14,MATCH(7,项目清单!$AB$5:$AB$14,0)))</f>
        <v/>
      </c>
      <c r="F27" s="67" t="str">
        <f aca="false">IF($A27="","",INDEX(项目清单!$V$5:$V$14,MATCH(7,项目清单!$AB$5:$AB$14,0)))</f>
        <v/>
      </c>
      <c r="G27" s="67" t="str">
        <f aca="false">IF($A27="","",INDEX(项目清单!$W$5:$W$14,MATCH(7,项目清单!$AB$5:$AB$14,0)))</f>
        <v/>
      </c>
    </row>
    <row r="28" customFormat="false" ht="27.75" hidden="false" customHeight="true" outlineLevel="0" collapsed="false">
      <c r="A28" s="9" t="str">
        <f aca="false">IFERROR(INDEX(项目清单!$B$5:$B$14,MATCH(8,项目清单!$AB$5:$AB$14,0)),"")</f>
        <v/>
      </c>
      <c r="B28" s="67" t="str">
        <f aca="false">IF($A28="","",INDEX(项目清单!$R$5:$R$14,MATCH(8,项目清单!$AB$5:$AB$14,0)))</f>
        <v/>
      </c>
      <c r="C28" s="67" t="str">
        <f aca="false">IF($A28="","",INDEX(项目清单!$S$5:$S$14,MATCH(8,项目清单!$AB$5:$AB$14,0)))</f>
        <v/>
      </c>
      <c r="D28" s="67" t="str">
        <f aca="false">IF($A28="","",INDEX(项目清单!$T$5:$T$14,MATCH(8,项目清单!$AB$5:$AB$14,0)))</f>
        <v/>
      </c>
      <c r="E28" s="67" t="str">
        <f aca="false">IF($A28="","",INDEX(项目清单!$U$5:$U$14,MATCH(8,项目清单!$AB$5:$AB$14,0)))</f>
        <v/>
      </c>
      <c r="F28" s="67" t="str">
        <f aca="false">IF($A28="","",INDEX(项目清单!$V$5:$V$14,MATCH(8,项目清单!$AB$5:$AB$14,0)))</f>
        <v/>
      </c>
      <c r="G28" s="67" t="str">
        <f aca="false">IF($A28="","",INDEX(项目清单!$W$5:$W$14,MATCH(8,项目清单!$AB$5:$AB$14,0)))</f>
        <v/>
      </c>
    </row>
    <row r="29" customFormat="false" ht="27.75" hidden="false" customHeight="true" outlineLevel="0" collapsed="false">
      <c r="A29" s="9" t="str">
        <f aca="false">IFERROR(INDEX(项目清单!$B$5:$B$14,MATCH(9,项目清单!$AB$5:$AB$14,0)),"")</f>
        <v/>
      </c>
      <c r="B29" s="67" t="str">
        <f aca="false">IF($A29="","",INDEX(项目清单!$R$5:$R$14,MATCH(9,项目清单!$AB$5:$AB$14,0)))</f>
        <v/>
      </c>
      <c r="C29" s="67" t="str">
        <f aca="false">IF($A29="","",INDEX(项目清单!$S$5:$S$14,MATCH(9,项目清单!$AB$5:$AB$14,0)))</f>
        <v/>
      </c>
      <c r="D29" s="67" t="str">
        <f aca="false">IF($A29="","",INDEX(项目清单!$T$5:$T$14,MATCH(9,项目清单!$AB$5:$AB$14,0)))</f>
        <v/>
      </c>
      <c r="E29" s="67" t="str">
        <f aca="false">IF($A29="","",INDEX(项目清单!$U$5:$U$14,MATCH(9,项目清单!$AB$5:$AB$14,0)))</f>
        <v/>
      </c>
      <c r="F29" s="67" t="str">
        <f aca="false">IF($A29="","",INDEX(项目清单!$V$5:$V$14,MATCH(9,项目清单!$AB$5:$AB$14,0)))</f>
        <v/>
      </c>
      <c r="G29" s="67" t="str">
        <f aca="false">IF($A29="","",INDEX(项目清单!$W$5:$W$14,MATCH(9,项目清单!$AB$5:$AB$14,0)))</f>
        <v/>
      </c>
    </row>
    <row r="30" customFormat="false" ht="27.75" hidden="false" customHeight="true" outlineLevel="0" collapsed="false">
      <c r="A30" s="11" t="str">
        <f aca="false">IFERROR(INDEX(项目清单!$B$5:$B$14,MATCH(10,项目清单!$AB$5:$AB$14,0)),"")</f>
        <v/>
      </c>
      <c r="B30" s="68" t="str">
        <f aca="false">IF($A30="","",INDEX(项目清单!$R$5:$R$14,MATCH(10,项目清单!$AB$5:$AB$14,0)))</f>
        <v/>
      </c>
      <c r="C30" s="68" t="str">
        <f aca="false">IF($A30="","",INDEX(项目清单!$S$5:$S$14,MATCH(10,项目清单!$AB$5:$AB$14,0)))</f>
        <v/>
      </c>
      <c r="D30" s="68" t="str">
        <f aca="false">IF($A30="","",INDEX(项目清单!$T$5:$T$14,MATCH(10,项目清单!$AB$5:$AB$14,0)))</f>
        <v/>
      </c>
      <c r="E30" s="68" t="str">
        <f aca="false">IF($A30="","",INDEX(项目清单!$U$5:$U$14,MATCH(10,项目清单!$AB$5:$AB$14,0)))</f>
        <v/>
      </c>
      <c r="F30" s="68" t="str">
        <f aca="false">IF($A30="","",INDEX(项目清单!$V$5:$V$14,MATCH(10,项目清单!$AB$5:$AB$14,0)))</f>
        <v/>
      </c>
      <c r="G30" s="68" t="str">
        <f aca="false">IF($A30="","",INDEX(项目清单!$W$5:$W$14,MATCH(10,项目清单!$AB$5:$AB$14,0)))</f>
        <v/>
      </c>
    </row>
    <row r="32" customFormat="false" ht="15" hidden="false" customHeight="true" outlineLevel="0" collapsed="false">
      <c r="A32" s="21" t="s">
        <v>319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</row>
  </sheetData>
  <mergeCells count="11">
    <mergeCell ref="A1:Q1"/>
    <mergeCell ref="A2:Q2"/>
    <mergeCell ref="A4:C4"/>
    <mergeCell ref="E4:G4"/>
    <mergeCell ref="I4:K4"/>
    <mergeCell ref="M4:O4"/>
    <mergeCell ref="A5:C5"/>
    <mergeCell ref="E5:G5"/>
    <mergeCell ref="I5:K5"/>
    <mergeCell ref="M5:O5"/>
    <mergeCell ref="A32:O33"/>
  </mergeCells>
  <conditionalFormatting sqref="C8:C17">
    <cfRule type="dataBar" priority="2">
      <dataBar showValue="1" minLength="10" maxLength="90">
        <cfvo type="min" val="0"/>
        <cfvo type="max" val="0"/>
        <color rgb="FF1D4ED8"/>
      </dataBar>
      <extLst>
        <ext xmlns:x14="http://schemas.microsoft.com/office/spreadsheetml/2009/9/main" uri="{B025F937-C7B1-47D3-B67F-A62EFF666E3E}">
          <x14:id>{BC6F60FB-5556-416C-AA40-96DEDF9789C8}</x14:id>
        </ext>
      </extLst>
    </cfRule>
  </conditionalFormatting>
  <conditionalFormatting sqref="D8:D17">
    <cfRule type="dataBar" priority="3">
      <dataBar showValue="1" minLength="10" maxLength="90">
        <cfvo type="min" val="0"/>
        <cfvo type="max" val="0"/>
        <color rgb="FF0F766E"/>
      </dataBar>
      <extLst>
        <ext xmlns:x14="http://schemas.microsoft.com/office/spreadsheetml/2009/9/main" uri="{B025F937-C7B1-47D3-B67F-A62EFF666E3E}">
          <x14:id>{FC85DBB2-8A1E-4CF1-A9AF-65481A49E5D6}</x14:id>
        </ext>
      </extLst>
    </cfRule>
  </conditionalFormatting>
  <conditionalFormatting sqref="B21:G30">
    <cfRule type="colorScale" priority="4">
      <colorScale>
        <cfvo type="min" val="0"/>
        <cfvo type="percentile" val="50"/>
        <cfvo type="max" val="0"/>
        <color rgb="FFFDECEC"/>
        <color rgb="FFFFF7E6"/>
        <color rgb="FFEAF7ED"/>
      </colorScale>
    </cfRule>
  </conditionalFormatting>
  <conditionalFormatting sqref="E8:E17">
    <cfRule type="containsText" priority="5" operator="containsText" aboveAverage="0" equalAverage="0" bottom="0" percent="0" rank="0" text="通过" dxfId="0">
      <formula>NOT(ISERROR(SEARCH("通过",E8)))</formula>
    </cfRule>
    <cfRule type="containsText" priority="6" operator="containsText" aboveAverage="0" equalAverage="0" bottom="0" percent="0" rank="0" text="待验证" dxfId="1">
      <formula>NOT(ISERROR(SEARCH("待验证",E8)))</formula>
    </cfRule>
    <cfRule type="containsText" priority="7" operator="containsText" aboveAverage="0" equalAverage="0" bottom="0" percent="0" rank="0" text="淘汰" dxfId="2">
      <formula>NOT(ISERROR(SEARCH("淘汰",E8)))</formula>
    </cfRule>
  </conditionalFormatting>
  <conditionalFormatting sqref="G8:G17">
    <cfRule type="containsText" priority="8" operator="containsText" aboveAverage="0" equalAverage="0" bottom="0" percent="0" rank="0" text="优先" dxfId="0">
      <formula>NOT(ISERROR(SEARCH("优先",G8)))</formula>
    </cfRule>
    <cfRule type="containsText" priority="9" operator="containsText" aboveAverage="0" equalAverage="0" bottom="0" percent="0" rank="0" text="验证" dxfId="1">
      <formula>NOT(ISERROR(SEARCH("验证",G8)))</formula>
    </cfRule>
    <cfRule type="containsText" priority="10" operator="containsText" aboveAverage="0" equalAverage="0" bottom="0" percent="0" rank="0" text="放弃" dxfId="2">
      <formula>NOT(ISERROR(SEARCH("放弃",G8)))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6F60FB-5556-416C-AA40-96DEDF9789C8}">
            <x14:dataBar minLength="10" maxLength="90" axisPosition="none" gradient="true">
              <x14:cfvo type="min"/>
              <x14:cfvo type="max"/>
              <x14:negativeFillColor rgb="FF1D4ED8"/>
              <x14:axisColor rgb="FF000000"/>
            </x14:dataBar>
          </x14:cfRule>
          <xm:sqref>C8:C17</xm:sqref>
        </x14:conditionalFormatting>
        <x14:conditionalFormatting xmlns:xm="http://schemas.microsoft.com/office/excel/2006/main">
          <x14:cfRule type="dataBar" id="{FC85DBB2-8A1E-4CF1-A9AF-65481A49E5D6}">
            <x14:dataBar minLength="10" maxLength="90" axisPosition="none" gradient="true">
              <x14:cfvo type="min"/>
              <x14:cfvo type="max"/>
              <x14:negativeFillColor rgb="FF0F766E"/>
              <x14:axisColor rgb="FF000000"/>
            </x14:dataBar>
          </x14:cfRule>
          <xm:sqref>D8:D17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2026-07-13T19:01:14Z</dcterms:created>
  <dc:creator>openpyxl</dc:creator>
  <dc:description/>
  <dc:language>en-CA</dc:language>
  <cp:lastModifiedBy/>
  <dcterms:modified xsi:type="dcterms:W3CDTF">2026-07-13T15:05:58Z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